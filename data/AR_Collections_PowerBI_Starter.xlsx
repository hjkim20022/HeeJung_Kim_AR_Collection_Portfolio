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7b41159c28439d" /></Relationships>
</file>

<file path=xl/workbook.xml><?xml version="1.0" encoding="utf-8"?>
<x:workbook xmlns:x="http://schemas.openxmlformats.org/spreadsheetml/2006/main">
  <x:sheets>
    <x:sheet xmlns:r="http://schemas.openxmlformats.org/officeDocument/2006/relationships" name="Start Here" sheetId="1" r:id="Ra48e8c33fec04f3f"/>
    <x:sheet xmlns:r="http://schemas.openxmlformats.org/officeDocument/2006/relationships" name="ARSnapshot" sheetId="2" r:id="Ref59de1afdb74e42"/>
    <x:sheet xmlns:r="http://schemas.openxmlformats.org/officeDocument/2006/relationships" name="Customers" sheetId="3" r:id="R05c77342310042a1"/>
    <x:sheet xmlns:r="http://schemas.openxmlformats.org/officeDocument/2006/relationships" name="Invoices" sheetId="4" r:id="Rb4d86319fcdd46d4"/>
    <x:sheet xmlns:r="http://schemas.openxmlformats.org/officeDocument/2006/relationships" name="Payments" sheetId="5" r:id="Rfd5627f453344979"/>
    <x:sheet xmlns:r="http://schemas.openxmlformats.org/officeDocument/2006/relationships" name="Calendar" sheetId="6" r:id="Rd99d1070580e4ba3"/>
    <x:sheet xmlns:r="http://schemas.openxmlformats.org/officeDocument/2006/relationships" name="BuildGuide" sheetId="7" r:id="R9d2be65ca90b4de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Red](#,##0.00);&quot;-&quot;"/>
    <x:numFmt numFmtId="202" formatCode="0.0%"/>
    <x:numFmt numFmtId="203" formatCode="#,##0"/>
  </x:numFmts>
  <x:fonts count="7">
    <x:font>
      <x:sz val="11"/>
      <x:name val="Carlito"/>
    </x:font>
    <x:font>
      <x:sz val="10"/>
      <x:color rgb="FF182336"/>
      <x:name val="Arial"/>
    </x:font>
    <x:font>
      <x:b/>
      <x:sz val="15"/>
      <x:color rgb="FF253858"/>
      <x:name val="Arial"/>
    </x:font>
    <x:font>
      <x:i/>
      <x:sz val="10"/>
      <x:color rgb="FF566171"/>
      <x:name val="Arial"/>
    </x:font>
    <x:font>
      <x:b/>
      <x:sz val="10"/>
      <x:color rgb="FFFFFFFF"/>
      <x:name val="Arial"/>
    </x:font>
    <x:font>
      <x:b/>
      <x:sz val="16"/>
      <x:color rgb="FF253858"/>
      <x:name val="Arial"/>
    </x:font>
    <x:font>
      <x:b/>
      <x:sz val="10"/>
      <x:color rgb="FF182336"/>
      <x:name val="Arial"/>
    </x:font>
  </x:fonts>
  <x:fills count="5">
    <x:fill>
      <x:patternFill patternType="none"/>
    </x:fill>
    <x:fill>
      <x:patternFill patternType="gray125"/>
    </x:fill>
    <x:fill>
      <x:patternFill patternType="solid">
        <x:fgColor rgb="FF253858"/>
      </x:patternFill>
    </x:fill>
    <x:fill>
      <x:patternFill patternType="solid">
        <x:fgColor rgb="FFEFF3F8"/>
      </x:patternFill>
    </x:fill>
    <x:fill>
      <x:patternFill patternType="solid">
        <x:fgColor rgb="FFF5F7FA"/>
      </x:patternFill>
    </x:fill>
  </x:fills>
  <x:borders count="2">
    <x:border>
      <x:left/>
      <x:right/>
      <x:top/>
      <x:bottom/>
      <x:diagonal/>
    </x:border>
    <x:border>
      <x:left/>
      <x:right/>
      <x:top/>
      <x:bottom style="thin">
        <x:color rgb="FFCAD2DE"/>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201" fontId="6"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cellXfs>
  <x:cellStyles count="1">
    <x:cellStyle name="Normal" xfId="0"/>
  </x:cellStyles>
  <x:dxfs count="1">
    <x:dxf>
      <x:font>
        <x:color rgb="FFA83529"/>
      </x:font>
      <x:fill>
        <x:patternFill patternType="solid">
          <x:bgColor rgb="FFFDEB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f22c135bda4e59" /><Relationship Type="http://schemas.openxmlformats.org/officeDocument/2006/relationships/theme" Target="/xl/theme/theme1.xml" Id="Rae358576e1484fa2" /><Relationship Type="http://schemas.openxmlformats.org/officeDocument/2006/relationships/sharedStrings" Target="/xl/sharedStrings.xml" Id="Rb7c67ada380749d7" /><Relationship Type="http://schemas.openxmlformats.org/officeDocument/2006/relationships/worksheet" Target="/xl/worksheets/sheet1.xml" Id="Ra48e8c33fec04f3f" /><Relationship Type="http://schemas.openxmlformats.org/officeDocument/2006/relationships/worksheet" Target="/xl/worksheets/sheet2.xml" Id="Ref59de1afdb74e42" /><Relationship Type="http://schemas.openxmlformats.org/officeDocument/2006/relationships/worksheet" Target="/xl/worksheets/sheet3.xml" Id="R05c77342310042a1" /><Relationship Type="http://schemas.openxmlformats.org/officeDocument/2006/relationships/worksheet" Target="/xl/worksheets/sheet4.xml" Id="Rb4d86319fcdd46d4" /><Relationship Type="http://schemas.openxmlformats.org/officeDocument/2006/relationships/worksheet" Target="/xl/worksheets/sheet5.xml" Id="Rfd5627f453344979" /><Relationship Type="http://schemas.openxmlformats.org/officeDocument/2006/relationships/worksheet" Target="/xl/worksheets/sheet6.xml" Id="Rd99d1070580e4ba3" /><Relationship Type="http://schemas.openxmlformats.org/officeDocument/2006/relationships/worksheet" Target="/xl/worksheets/sheet7.xml" Id="R9d2be65ca90b4de2" /></Relationships>
</file>

<file path=xl/tables/table1.xml><?xml version="1.0" encoding="utf-8"?>
<x:table xmlns:x="http://schemas.openxmlformats.org/spreadsheetml/2006/main" id="5" name="ARSnapshot" displayName="ARSnapshot" ref="A4:L484" headerRowCount="1" totalsRowCount="0" totalsRowShown="0">
  <x:tableColumns count="12">
    <x:tableColumn id="1" name="InvoiceID"/>
    <x:tableColumn id="2" name="CustomerID"/>
    <x:tableColumn id="3" name="InvoiceDate"/>
    <x:tableColumn id="4" name="DueDate"/>
    <x:tableColumn id="5" name="InvoiceAmountCAD"/>
    <x:tableColumn id="6" name="PaidToDateCAD"/>
    <x:tableColumn id="7" name="OutstandingCAD"/>
    <x:tableColumn id="8" name="DaysOverdue"/>
    <x:tableColumn id="9" name="AgingBucket"/>
    <x:tableColumn id="10" name="AgingSort"/>
    <x:tableColumn id="11" name="Disputed"/>
    <x:tableColumn id="12" name="AsOfDate"/>
  </x:tableColumns>
  <x:tableStyleInfo name="TableStyleMedium2" showFirstColumn="0" showLastColumn="0" showRowStripes="1" showColumnStripes="0"/>
</x:table>
</file>

<file path=xl/tables/table2.xml><?xml version="1.0" encoding="utf-8"?>
<x:table xmlns:x="http://schemas.openxmlformats.org/spreadsheetml/2006/main" id="1" name="Customers" displayName="Customers" ref="A4:E44" headerRowCount="1" totalsRowCount="0" totalsRowShown="0">
  <x:tableColumns count="5">
    <x:tableColumn id="1" name="CustomerID"/>
    <x:tableColumn id="2" name="CustomerName"/>
    <x:tableColumn id="3" name="Region"/>
    <x:tableColumn id="4" name="Industry"/>
    <x:tableColumn id="5" name="AccountOwner"/>
  </x:tableColumns>
  <x:tableStyleInfo name="TableStyleMedium2" showFirstColumn="0" showLastColumn="0" showRowStripes="1" showColumnStripes="0"/>
</x:table>
</file>

<file path=xl/tables/table3.xml><?xml version="1.0" encoding="utf-8"?>
<x:table xmlns:x="http://schemas.openxmlformats.org/spreadsheetml/2006/main" id="2" name="Invoices" displayName="Invoices" ref="A4:G484" headerRowCount="1" totalsRowCount="0" totalsRowShown="0">
  <x:tableColumns count="7">
    <x:tableColumn id="1" name="InvoiceID"/>
    <x:tableColumn id="2" name="CustomerID"/>
    <x:tableColumn id="3" name="InvoiceDate"/>
    <x:tableColumn id="4" name="DueDate"/>
    <x:tableColumn id="5" name="InvoiceAmountCAD"/>
    <x:tableColumn id="6" name="Disputed"/>
    <x:tableColumn id="7" name="DisputeReason"/>
  </x:tableColumns>
  <x:tableStyleInfo name="TableStyleMedium2" showFirstColumn="0" showLastColumn="0" showRowStripes="1" showColumnStripes="0"/>
</x:table>
</file>

<file path=xl/tables/table4.xml><?xml version="1.0" encoding="utf-8"?>
<x:table xmlns:x="http://schemas.openxmlformats.org/spreadsheetml/2006/main" id="3" name="Payments" displayName="Payments" ref="A4:E429" headerRowCount="1" totalsRowCount="0" totalsRowShown="0">
  <x:tableColumns count="5">
    <x:tableColumn id="1" name="PaymentID"/>
    <x:tableColumn id="2" name="InvoiceID"/>
    <x:tableColumn id="3" name="CustomerID"/>
    <x:tableColumn id="4" name="PaymentDate"/>
    <x:tableColumn id="5" name="PaymentAmountCAD"/>
  </x:tableColumns>
  <x:tableStyleInfo name="TableStyleMedium2" showFirstColumn="0" showLastColumn="0" showRowStripes="1" showColumnStripes="0"/>
</x:table>
</file>

<file path=xl/tables/table5.xml><?xml version="1.0" encoding="utf-8"?>
<x:table xmlns:x="http://schemas.openxmlformats.org/spreadsheetml/2006/main" id="4" name="Calendar" displayName="Calendar" ref="A4:F369" headerRowCount="1" totalsRowCount="0" totalsRowShown="0">
  <x:tableColumns count="6">
    <x:tableColumn id="1" name="Date"/>
    <x:tableColumn id="2" name="Year"/>
    <x:tableColumn id="3" name="MonthNumber"/>
    <x:tableColumn id="4" name="MonthName"/>
    <x:tableColumn id="5" name="YearMonth"/>
    <x:tableColumn id="6" name="YearMonthSor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fa0608f5f14496" /></Relationships>
</file>

<file path=xl/worksheets/_rels/sheet3.xml.rels>&#65279;<?xml version="1.0" encoding="utf-8"?><Relationships xmlns="http://schemas.openxmlformats.org/package/2006/relationships"><Relationship Type="http://schemas.openxmlformats.org/officeDocument/2006/relationships/table" Target="/xl/tables/table2.xml" Id="Raceb0816e9844fe4" /></Relationships>
</file>

<file path=xl/worksheets/_rels/sheet4.xml.rels>&#65279;<?xml version="1.0" encoding="utf-8"?><Relationships xmlns="http://schemas.openxmlformats.org/package/2006/relationships"><Relationship Type="http://schemas.openxmlformats.org/officeDocument/2006/relationships/table" Target="/xl/tables/table3.xml" Id="Rec32da68281f49be" /></Relationships>
</file>

<file path=xl/worksheets/_rels/sheet5.xml.rels>&#65279;<?xml version="1.0" encoding="utf-8"?><Relationships xmlns="http://schemas.openxmlformats.org/package/2006/relationships"><Relationship Type="http://schemas.openxmlformats.org/officeDocument/2006/relationships/table" Target="/xl/tables/table4.xml" Id="R0b76512cce654b7a" /></Relationships>
</file>

<file path=xl/worksheets/_rels/sheet6.xml.rels>&#65279;<?xml version="1.0" encoding="utf-8"?><Relationships xmlns="http://schemas.openxmlformats.org/package/2006/relationships"><Relationship Type="http://schemas.openxmlformats.org/officeDocument/2006/relationships/table" Target="/xl/tables/table5.xml" Id="R10d42b933ac448bd" /></Relationships>
</file>

<file path=xl/worksheets/sheet1.xml><?xml version="1.0" encoding="utf-8"?>
<x:worksheet xmlns:x="http://schemas.openxmlformats.org/spreadsheetml/2006/main">
  <x:sheetPr>
    <x:tabColor rgb="FF253858"/>
  </x:sheetPr>
  <x:sheetViews>
    <x:sheetView showGridLines="0" workbookViewId="0"/>
  </x:sheetViews>
  <x:sheetFormatPr defaultRowHeight="15"/>
  <x:cols>
    <x:col min="1" max="1" width="36" hidden="0" customWidth="1"/>
    <x:col min="2" max="2" width="112" hidden="0" customWidth="1"/>
  </x:cols>
  <x:sheetData>
    <x:row r="1" ht="23" customHeight="1">
      <x:c r="A1" s="2"/>
      <x:c r="B1" s="2"/>
    </x:row>
    <x:row r="2" ht="32" customHeight="1">
      <x:c r="A2" s="12" t="str">
        <x:v>Accounts Receivable and Collections</x:v>
      </x:c>
      <x:c r="B2" s="2"/>
    </x:row>
    <x:row r="3" ht="23" customHeight="1">
      <x:c r="A3" s="4" t="str">
        <x:v>Power BI starter data and build guide. This file is not a completed Power BI report.</x:v>
      </x:c>
      <x:c r="B3" s="2"/>
    </x:row>
    <x:row r="4" ht="23" customHeight="1">
      <x:c r="A4" s="5"/>
      <x:c r="B4" s="5"/>
    </x:row>
    <x:row r="5" ht="23" customHeight="1">
      <x:c r="A5" s="2" t="str">
        <x:v>Snapshot date</x:v>
      </x:c>
      <x:c r="B5" s="10" t="d">
        <x:v>2026-09-30T00:00:00.000Z</x:v>
      </x:c>
    </x:row>
    <x:row r="6" ht="23" customHeight="1">
      <x:c r="A6" s="2" t="str">
        <x:v>Currency</x:v>
      </x:c>
      <x:c r="B6" s="2" t="str">
        <x:v>CAD. Synthetic transactions only; no real company or client data.</x:v>
      </x:c>
    </x:row>
    <x:row r="7" ht="23" customHeight="1">
      <x:c r="A7" s="2"/>
      <x:c r="B7" s="2"/>
    </x:row>
    <x:row r="8" ht="34" customHeight="1">
      <x:c r="A8" s="9" t="str">
        <x:v>Validation metric</x:v>
      </x:c>
      <x:c r="B8" s="9" t="str">
        <x:v>Expected result from all records with no filters</x:v>
      </x:c>
    </x:row>
    <x:row r="9" ht="23" customHeight="1">
      <x:c r="A9" s="2" t="str">
        <x:v>Invoice amount</x:v>
      </x:c>
      <x:c r="B9" s="11" t="n">
        <x:f>SUM('ARSnapshot'!E5:E484)</x:f>
        <x:v>4873723.46</x:v>
      </x:c>
    </x:row>
    <x:row r="10" ht="23" customHeight="1">
      <x:c r="A10" s="2" t="str">
        <x:v>Payments through snapshot date</x:v>
      </x:c>
      <x:c r="B10" s="11" t="n">
        <x:f>SUM('ARSnapshot'!F5:F484)</x:f>
        <x:v>3324752.27</x:v>
      </x:c>
    </x:row>
    <x:row r="11" ht="23" customHeight="1">
      <x:c r="A11" s="17" t="str">
        <x:v>Outstanding receivables</x:v>
      </x:c>
      <x:c r="B11" s="18" t="n">
        <x:f>SUM('ARSnapshot'!G5:G484)</x:f>
        <x:v>1548971.19</x:v>
      </x:c>
    </x:row>
    <x:row r="12" ht="23" customHeight="1">
      <x:c r="A12" s="2" t="str">
        <x:v>Overdue receivables</x:v>
      </x:c>
      <x:c r="B12" s="11" t="n">
        <x:f>SUMIFS('ARSnapshot'!G5:G484,'ARSnapshot'!H5:H484,"&gt;0")</x:f>
        <x:v>980235.7200000001</x:v>
      </x:c>
    </x:row>
    <x:row r="13" ht="23" customHeight="1">
      <x:c r="A13" s="2" t="str">
        <x:v>Overdue share of outstanding</x:v>
      </x:c>
      <x:c r="B13" s="13" t="n">
        <x:f>IF(B11=0,"n.a.",B12/B11)</x:f>
        <x:v>0.6328301819480582</x:v>
      </x:c>
    </x:row>
    <x:row r="14" ht="23" customHeight="1">
      <x:c r="A14" s="2" t="str">
        <x:v>Current receivables</x:v>
      </x:c>
      <x:c r="B14" s="11" t="n">
        <x:f>SUMIFS('ARSnapshot'!G5:G484,'ARSnapshot'!I5:I484,"Current")</x:f>
        <x:v>568735.4700000002</x:v>
      </x:c>
    </x:row>
    <x:row r="15" ht="23" customHeight="1">
      <x:c r="A15" s="2" t="str">
        <x:v>Receivables over 90 days overdue</x:v>
      </x:c>
      <x:c r="B15" s="11" t="n">
        <x:f>SUMIFS('ARSnapshot'!G5:G484,'ARSnapshot'!H5:H484,"&gt;90")</x:f>
        <x:v>471979.98</x:v>
      </x:c>
    </x:row>
    <x:row r="16" ht="23" customHeight="1">
      <x:c r="A16" s="2" t="str">
        <x:v>Open invoices</x:v>
      </x:c>
      <x:c r="B16" s="14" t="n">
        <x:f>COUNTIFS('ARSnapshot'!G5:G484,"&gt;0")</x:f>
        <x:v>165</x:v>
      </x:c>
    </x:row>
    <x:row r="17" ht="23" customHeight="1">
      <x:c r="A17" s="2" t="str">
        <x:v>September collections</x:v>
      </x:c>
      <x:c r="B17" s="11" t="n">
        <x:f>SUMIFS('Payments'!E5:E429,'Payments'!D5:D429,"&gt;="&amp;DATE(YEAR(B5),MONTH(B5),1),'Payments'!D5:D429,"&lt;="&amp;B5)</x:f>
        <x:v>424614.2000000002</x:v>
      </x:c>
    </x:row>
    <x:row r="18" ht="23" customHeight="1">
      <x:c r="A18" s="2"/>
      <x:c r="B18" s="2"/>
    </x:row>
    <x:row r="19" ht="34" customHeight="1">
      <x:c r="A19" s="9" t="str">
        <x:v>Start building</x:v>
      </x:c>
      <x:c r="B19" s="9" t="str">
        <x:v>Action</x:v>
      </x:c>
    </x:row>
    <x:row r="20" ht="49" customHeight="1">
      <x:c r="A20" s="20" t="str">
        <x:v>1. Import</x:v>
      </x:c>
      <x:c r="B20" s="19" t="str">
        <x:v>Power BI Desktop &gt; Get data &gt; Excel workbook. Select the named tables Customers, ARSnapshot, Payments and Calendar, then choose Transform Data. Do not also select their worksheet copies.</x:v>
      </x:c>
    </x:row>
    <x:row r="21" ht="49" customHeight="1">
      <x:c r="A21" s="20" t="str">
        <x:v>2. Check data types</x:v>
      </x:c>
      <x:c r="B21" s="19" t="str">
        <x:v>Use Text for IDs, Date for date columns, Fixed decimal number for CAD amounts, and Whole number for DaysOverdue and AgingSort. Select Close &amp; Apply.</x:v>
      </x:c>
    </x:row>
    <x:row r="22" ht="49" customHeight="1">
      <x:c r="A22" s="20" t="str">
        <x:v>3. Create relationships</x:v>
      </x:c>
      <x:c r="B22" s="19" t="str">
        <x:v>Follow BuildGuide. Customers filters both fact tables; Calendar filters Payments only. ARSnapshot remains a fixed balance as of 2026-09-30.</x:v>
      </x:c>
    </x:row>
    <x:row r="23" ht="49" customHeight="1">
      <x:c r="A23" s="20" t="str">
        <x:v>4. Add measures</x:v>
      </x:c>
      <x:c r="B23" s="19" t="str">
        <x:v>Create the DAX measures in BuildGuide one at a time with Modeling &gt; New measure. Format amounts as CAD and the overdue share as a percentage.</x:v>
      </x:c>
    </x:row>
    <x:row r="24" ht="49" customHeight="1">
      <x:c r="A24" s="20" t="str">
        <x:v>5. Build three report pages</x:v>
      </x:c>
      <x:c r="B24" s="19" t="str">
        <x:v>Executive Overview, Aging and Customer Exposure, and Collection Worklist. The BuildGuide specifies charts, fields, filters and interactions.</x:v>
      </x:c>
    </x:row>
    <x:row r="25" ht="49" customHeight="1">
      <x:c r="A25" s="20" t="str">
        <x:v>6. Validate</x:v>
      </x:c>
      <x:c r="B25" s="19" t="str">
        <x:v>Match the totals above with all customer and region filters cleared. Invoice amount minus payments must equal outstanding. Current plus overdue must equal outstanding.</x:v>
      </x:c>
    </x:row>
    <x:row r="26" ht="49" customHeight="1">
      <x:c r="A26" s="20" t="str">
        <x:v>7. Present your findings</x:v>
      </x:c>
      <x:c r="B26" s="19" t="str">
        <x:v>Write three findings and corresponding actions from the data. Label the whole project as a synthetic portfolio case study. Record a two-minute walkthrough.</x:v>
      </x:c>
    </x:row>
    <x:row r="27" ht="49" customHeight="1">
      <x:c r="A27" s="20" t="str">
        <x:v>Data coverage</x:v>
      </x:c>
      <x:c r="B27" s="19" t="str">
        <x:v>40 fictional customers, 480 invoices and 425 payment allocations. Invoices and payments cover 2026-01-01 through 2026-09-30. Calendar covers all of 2026.</x:v>
      </x:c>
    </x:row>
    <x:row r="28" ht="49" customHeight="1">
      <x:c r="A28" s="20" t="str">
        <x:v>Balance rules</x:v>
      </x:c>
      <x:c r="B28" s="19" t="str">
        <x:v>Invoices due on the snapshot date are Current. Overdue means an open balance with DueDate before the snapshot date. Paid invoices have a zero balance and DaysOverdue of zero.</x:v>
      </x:c>
    </x:row>
    <x:row r="29" ht="49" customHeight="1">
      <x:c r="A29" s="20" t="str">
        <x:v>Scope</x:v>
      </x:c>
      <x:c r="B29" s="19" t="str">
        <x:v>No opening receivables, credit notes, refunds, overpayments, write-offs, tax accounting or foreign exchange. Every payment row is allocated to one invoice. Paid plus outstanding equals invoice amount.</x:v>
      </x:c>
    </x:row>
    <x:row r="30" ht="49" customHeight="1">
      <x:c r="A30" s="20" t="str">
        <x:v>Refresh limitation</x:v>
      </x:c>
      <x:c r="B30" s="19" t="str">
        <x:v>The Excel snapshot is calculated for the fixed date shown above. A Power BI refresh imports saved Excel values; it does not recalculate Excel formulas. Recalculate and save Excel before reimporting edits.</x:v>
      </x:c>
    </x:row>
    <x:row r="31" ht="49" customHeight="1">
      <x:c r="A31" s="20" t="str">
        <x:v>Next learning step</x:v>
      </x:c>
      <x:c r="B31" s="19" t="str">
        <x:v>Rebuild ARSnapshot yourself from raw Invoices and Payments with Power Query or SQL, then reconcile against this reference. This demonstrates data preparation as well as dashboard design.</x:v>
      </x:c>
    </x:row>
    <x:row r="32" ht="49" customHeight="1">
      <x:c r="A32" s="20" t="str">
        <x:v>Portfolio packaging</x:v>
      </x:c>
      <x:c r="B32" s="19" t="str">
        <x:v>Save your completed PBIX, screenshots, data model image, KPI definitions, transformation code and a short README. Describe findings as portfolio analysis, not achieved business savings.</x:v>
      </x:c>
    </x:row>
    <x:row r="33" ht="49" customHeight="1">
      <x:c r="A33" s="20" t="str">
        <x:v>Source</x:v>
      </x:c>
      <x:c r="B33" s="19" t="str">
        <x:v>Synthetic data generated by ChatGPT on 2026-10-16 with a deterministic seed. Microsoft documentation links are in BuildGuide.</x:v>
      </x:c>
    </x:row>
    <x:row r="34" ht="23" customHeight="1">
      <x:c r="A34" s="2"/>
      <x:c r="B34" s="2"/>
    </x:row>
    <x:row r="35" ht="23" customHeight="1">
      <x:c r="A35" s="2"/>
      <x:c r="B35" s="2"/>
    </x:row>
    <x:row r="36" ht="23" customHeight="1">
      <x:c r="A36" s="2"/>
      <x:c r="B36" s="2"/>
    </x:row>
  </x:sheetData>
  <x:pageMargins left="0.7" right="0.7" top="0.75" bottom="0.75" header="0.3" footer="0.3"/>
</x:worksheet>
</file>

<file path=xl/worksheets/sheet2.xml><?xml version="1.0" encoding="utf-8"?>
<x:worksheet xmlns:x="http://schemas.openxmlformats.org/spreadsheetml/2006/main">
  <x:sheetPr>
    <x:tabColor rgb="FF375A7F"/>
  </x:sheetPr>
  <x:sheetViews>
    <x:sheetView showGridLines="0" workbookViewId="0">
      <x:pane xSplit="2" ySplit="4" topLeftCell="C5" activePane="bottomRight" state="frozen"/>
    </x:sheetView>
  </x:sheetViews>
  <x:sheetFormatPr defaultRowHeight="15"/>
  <x:cols>
    <x:col min="1" max="1" width="19" hidden="0" customWidth="1"/>
    <x:col min="2" max="2" width="17" hidden="0" customWidth="1"/>
    <x:col min="3" max="3" width="18" hidden="0" customWidth="1"/>
    <x:col min="4" max="4" width="18" hidden="0" customWidth="1"/>
    <x:col min="5" max="5" width="22" hidden="0" customWidth="1"/>
    <x:col min="6" max="6" width="21" hidden="0" customWidth="1"/>
    <x:col min="7" max="7" width="22" hidden="0" customWidth="1"/>
    <x:col min="8" max="8" width="17" hidden="0" customWidth="1"/>
    <x:col min="9" max="9" width="18" hidden="0" customWidth="1"/>
    <x:col min="10" max="10" width="14" hidden="0" customWidth="1"/>
    <x:col min="11" max="11" width="15" hidden="0" customWidth="1"/>
    <x:col min="12" max="12" width="18" hidden="0" customWidth="1"/>
  </x:cols>
  <x:sheetData>
    <x:row r="1" ht="30" customHeight="1">
      <x:c r="A1" s="3" t="str">
        <x:v>Receivables at the reporting date</x:v>
      </x:c>
      <x:c r="B1" s="2"/>
      <x:c r="C1" s="2"/>
      <x:c r="D1" s="2"/>
      <x:c r="E1" s="2"/>
      <x:c r="F1" s="2"/>
      <x:c r="G1" s="2"/>
      <x:c r="H1" s="2"/>
      <x:c r="I1" s="2"/>
      <x:c r="J1" s="2"/>
      <x:c r="K1" s="2"/>
      <x:c r="L1" s="2"/>
    </x:row>
    <x:row r="2" ht="23" customHeight="1">
      <x:c r="A2" s="4" t="str">
        <x:v>Calculated reference table. One row per invoice; one fixed snapshot date. Amounts are CAD.</x:v>
      </x:c>
      <x:c r="B2" s="2"/>
      <x:c r="C2" s="2"/>
      <x:c r="D2" s="2"/>
      <x:c r="E2" s="2"/>
      <x:c r="F2" s="2"/>
      <x:c r="G2" s="2"/>
      <x:c r="H2" s="2"/>
      <x:c r="I2" s="2"/>
      <x:c r="J2" s="2"/>
      <x:c r="K2" s="2"/>
      <x:c r="L2" s="2"/>
    </x:row>
    <x:row r="3" ht="23" customHeight="1">
      <x:c r="A3" s="5"/>
      <x:c r="B3" s="5"/>
      <x:c r="C3" s="5"/>
      <x:c r="D3" s="5"/>
      <x:c r="E3" s="5"/>
      <x:c r="F3" s="5"/>
      <x:c r="G3" s="5"/>
      <x:c r="H3" s="5"/>
      <x:c r="I3" s="5"/>
      <x:c r="J3" s="5"/>
      <x:c r="K3" s="5"/>
      <x:c r="L3" s="5"/>
    </x:row>
    <x:row r="4" ht="34" customHeight="1">
      <x:c r="A4" s="9" t="str">
        <x:v>InvoiceID</x:v>
      </x:c>
      <x:c r="B4" s="9" t="str">
        <x:v>CustomerID</x:v>
      </x:c>
      <x:c r="C4" s="9" t="str">
        <x:v>InvoiceDate</x:v>
      </x:c>
      <x:c r="D4" s="9" t="str">
        <x:v>DueDate</x:v>
      </x:c>
      <x:c r="E4" s="9" t="str">
        <x:v>InvoiceAmountCAD</x:v>
      </x:c>
      <x:c r="F4" s="9" t="str">
        <x:v>PaidToDateCAD</x:v>
      </x:c>
      <x:c r="G4" s="9" t="str">
        <x:v>OutstandingCAD</x:v>
      </x:c>
      <x:c r="H4" s="9" t="str">
        <x:v>DaysOverdue</x:v>
      </x:c>
      <x:c r="I4" s="9" t="str">
        <x:v>AgingBucket</x:v>
      </x:c>
      <x:c r="J4" s="9" t="str">
        <x:v>AgingSort</x:v>
      </x:c>
      <x:c r="K4" s="9" t="str">
        <x:v>Disputed</x:v>
      </x:c>
      <x:c r="L4" s="9" t="str">
        <x:v>AsOfDate</x:v>
      </x:c>
    </x:row>
    <x:row r="5" ht="23" customHeight="1">
      <x:c r="A5" s="2" t="str">
        <x:f>'Invoices'!A5</x:f>
        <x:v>INV00001</x:v>
      </x:c>
      <x:c r="B5" s="2" t="str">
        <x:f>'Invoices'!B5</x:f>
        <x:v>C002</x:v>
      </x:c>
      <x:c r="C5" s="10" t="n">
        <x:f>'Invoices'!C5</x:f>
        <x:v>46095</x:v>
      </x:c>
      <x:c r="D5" s="10" t="n">
        <x:f>'Invoices'!D5</x:f>
        <x:v>46155</x:v>
      </x:c>
      <x:c r="E5" s="11" t="n">
        <x:f>'Invoices'!E5</x:f>
        <x:v>19776.21</x:v>
      </x:c>
      <x:c r="F5" s="11" t="n">
        <x:f>SUMIFS('Payments'!$E$5:$E$429,'Payments'!$B$5:$B$429,A5,'Payments'!$D$5:$D$429,"&lt;="&amp;'Start Here'!$B$5)</x:f>
        <x:v>0</x:v>
      </x:c>
      <x:c r="G5" s="11" t="n">
        <x:f>ROUND(E5-F5,2)</x:f>
        <x:v>19776.21</x:v>
      </x:c>
      <x:c r="H5" s="2" t="n">
        <x:f>IF(G5&gt;0,MAX(0,'Start Here'!$B$5-D5),0)</x:f>
        <x:v>140</x:v>
      </x:c>
      <x:c r="I5" s="2" t="str">
        <x:f>IF(G5=0,"Paid",IF(H5=0,"Current",IF(H5&lt;=30,"1-30",IF(H5&lt;=60,"31-60",IF(H5&lt;=90,"61-90","91+")))))</x:f>
        <x:v>91+</x:v>
      </x:c>
      <x:c r="J5" s="2" t="n">
        <x:f>IF(G5=0,0,IF(H5=0,1,IF(H5&lt;=30,2,IF(H5&lt;=60,3,IF(H5&lt;=90,4,5)))))</x:f>
        <x:v>5</x:v>
      </x:c>
      <x:c r="K5" s="2" t="str">
        <x:f>'Invoices'!F5</x:f>
        <x:v>No</x:v>
      </x:c>
      <x:c r="L5" s="10" t="n">
        <x:f>'Start Here'!$B$5</x:f>
        <x:v>46295</x:v>
      </x:c>
    </x:row>
    <x:row r="6" ht="23" customHeight="1">
      <x:c r="A6" s="2" t="str">
        <x:f>'Invoices'!A6</x:f>
        <x:v>INV00002</x:v>
      </x:c>
      <x:c r="B6" s="2" t="str">
        <x:f>'Invoices'!B6</x:f>
        <x:v>C015</x:v>
      </x:c>
      <x:c r="C6" s="10" t="n">
        <x:f>'Invoices'!C6</x:f>
        <x:v>46208</x:v>
      </x:c>
      <x:c r="D6" s="10" t="n">
        <x:f>'Invoices'!D6</x:f>
        <x:v>46238</x:v>
      </x:c>
      <x:c r="E6" s="11" t="n">
        <x:f>'Invoices'!E6</x:f>
        <x:v>11804.82</x:v>
      </x:c>
      <x:c r="F6" s="11" t="n">
        <x:f>SUMIFS('Payments'!$E$5:$E$429,'Payments'!$B$5:$B$429,A6,'Payments'!$D$5:$D$429,"&lt;="&amp;'Start Here'!$B$5)</x:f>
        <x:v>5902.41</x:v>
      </x:c>
      <x:c r="G6" s="11" t="n">
        <x:f>ROUND(E6-F6,2)</x:f>
        <x:v>5902.41</x:v>
      </x:c>
      <x:c r="H6" s="2" t="n">
        <x:f>IF(G6&gt;0,MAX(0,'Start Here'!$B$5-D6),0)</x:f>
        <x:v>57</x:v>
      </x:c>
      <x:c r="I6" s="2" t="str">
        <x:f>IF(G6=0,"Paid",IF(H6=0,"Current",IF(H6&lt;=30,"1-30",IF(H6&lt;=60,"31-60",IF(H6&lt;=90,"61-90","91+")))))</x:f>
        <x:v>31-60</x:v>
      </x:c>
      <x:c r="J6" s="2" t="n">
        <x:f>IF(G6=0,0,IF(H6=0,1,IF(H6&lt;=30,2,IF(H6&lt;=60,3,IF(H6&lt;=90,4,5)))))</x:f>
        <x:v>3</x:v>
      </x:c>
      <x:c r="K6" s="2" t="str">
        <x:f>'Invoices'!F6</x:f>
        <x:v>No</x:v>
      </x:c>
      <x:c r="L6" s="10" t="n">
        <x:f>'Start Here'!$B$5</x:f>
        <x:v>46295</x:v>
      </x:c>
    </x:row>
    <x:row r="7" ht="23" customHeight="1">
      <x:c r="A7" s="2" t="str">
        <x:f>'Invoices'!A7</x:f>
        <x:v>INV00003</x:v>
      </x:c>
      <x:c r="B7" s="2" t="str">
        <x:f>'Invoices'!B7</x:f>
        <x:v>C020</x:v>
      </x:c>
      <x:c r="C7" s="10" t="n">
        <x:f>'Invoices'!C7</x:f>
        <x:v>46103</x:v>
      </x:c>
      <x:c r="D7" s="10" t="n">
        <x:f>'Invoices'!D7</x:f>
        <x:v>46163</x:v>
      </x:c>
      <x:c r="E7" s="11" t="n">
        <x:f>'Invoices'!E7</x:f>
        <x:v>7488.38</x:v>
      </x:c>
      <x:c r="F7" s="11" t="n">
        <x:f>SUMIFS('Payments'!$E$5:$E$429,'Payments'!$B$5:$B$429,A7,'Payments'!$D$5:$D$429,"&lt;="&amp;'Start Here'!$B$5)</x:f>
        <x:v>7488.38</x:v>
      </x:c>
      <x:c r="G7" s="11" t="n">
        <x:f>ROUND(E7-F7,2)</x:f>
        <x:v>0</x:v>
      </x:c>
      <x:c r="H7" s="2" t="n">
        <x:f>IF(G7&gt;0,MAX(0,'Start Here'!$B$5-D7),0)</x:f>
        <x:v>0</x:v>
      </x:c>
      <x:c r="I7" s="2" t="str">
        <x:f>IF(G7=0,"Paid",IF(H7=0,"Current",IF(H7&lt;=30,"1-30",IF(H7&lt;=60,"31-60",IF(H7&lt;=90,"61-90","91+")))))</x:f>
        <x:v>Paid</x:v>
      </x:c>
      <x:c r="J7" s="2" t="n">
        <x:f>IF(G7=0,0,IF(H7=0,1,IF(H7&lt;=30,2,IF(H7&lt;=60,3,IF(H7&lt;=90,4,5)))))</x:f>
        <x:v>0</x:v>
      </x:c>
      <x:c r="K7" s="2" t="str">
        <x:f>'Invoices'!F7</x:f>
        <x:v>No</x:v>
      </x:c>
      <x:c r="L7" s="10" t="n">
        <x:f>'Start Here'!$B$5</x:f>
        <x:v>46295</x:v>
      </x:c>
    </x:row>
    <x:row r="8" ht="23" customHeight="1">
      <x:c r="A8" s="2" t="str">
        <x:f>'Invoices'!A8</x:f>
        <x:v>INV00004</x:v>
      </x:c>
      <x:c r="B8" s="2" t="str">
        <x:f>'Invoices'!B8</x:f>
        <x:v>C014</x:v>
      </x:c>
      <x:c r="C8" s="10" t="n">
        <x:f>'Invoices'!C8</x:f>
        <x:v>46201</x:v>
      </x:c>
      <x:c r="D8" s="10" t="n">
        <x:f>'Invoices'!D8</x:f>
        <x:v>46246</x:v>
      </x:c>
      <x:c r="E8" s="11" t="n">
        <x:f>'Invoices'!E8</x:f>
        <x:v>7960.63</x:v>
      </x:c>
      <x:c r="F8" s="11" t="n">
        <x:f>SUMIFS('Payments'!$E$5:$E$429,'Payments'!$B$5:$B$429,A8,'Payments'!$D$5:$D$429,"&lt;="&amp;'Start Here'!$B$5)</x:f>
        <x:v>7960.63</x:v>
      </x:c>
      <x:c r="G8" s="11" t="n">
        <x:f>ROUND(E8-F8,2)</x:f>
        <x:v>0</x:v>
      </x:c>
      <x:c r="H8" s="2" t="n">
        <x:f>IF(G8&gt;0,MAX(0,'Start Here'!$B$5-D8),0)</x:f>
        <x:v>0</x:v>
      </x:c>
      <x:c r="I8" s="2" t="str">
        <x:f>IF(G8=0,"Paid",IF(H8=0,"Current",IF(H8&lt;=30,"1-30",IF(H8&lt;=60,"31-60",IF(H8&lt;=90,"61-90","91+")))))</x:f>
        <x:v>Paid</x:v>
      </x:c>
      <x:c r="J8" s="2" t="n">
        <x:f>IF(G8=0,0,IF(H8=0,1,IF(H8&lt;=30,2,IF(H8&lt;=60,3,IF(H8&lt;=90,4,5)))))</x:f>
        <x:v>0</x:v>
      </x:c>
      <x:c r="K8" s="2" t="str">
        <x:f>'Invoices'!F8</x:f>
        <x:v>No</x:v>
      </x:c>
      <x:c r="L8" s="10" t="n">
        <x:f>'Start Here'!$B$5</x:f>
        <x:v>46295</x:v>
      </x:c>
    </x:row>
    <x:row r="9" ht="23" customHeight="1">
      <x:c r="A9" s="2" t="str">
        <x:f>'Invoices'!A9</x:f>
        <x:v>INV00005</x:v>
      </x:c>
      <x:c r="B9" s="2" t="str">
        <x:f>'Invoices'!B9</x:f>
        <x:v>C026</x:v>
      </x:c>
      <x:c r="C9" s="10" t="n">
        <x:f>'Invoices'!C9</x:f>
        <x:v>46024</x:v>
      </x:c>
      <x:c r="D9" s="10" t="n">
        <x:f>'Invoices'!D9</x:f>
        <x:v>46039</x:v>
      </x:c>
      <x:c r="E9" s="11" t="n">
        <x:f>'Invoices'!E9</x:f>
        <x:v>12226.53</x:v>
      </x:c>
      <x:c r="F9" s="11" t="n">
        <x:f>SUMIFS('Payments'!$E$5:$E$429,'Payments'!$B$5:$B$429,A9,'Payments'!$D$5:$D$429,"&lt;="&amp;'Start Here'!$B$5)</x:f>
        <x:v>12226.53</x:v>
      </x:c>
      <x:c r="G9" s="11" t="n">
        <x:f>ROUND(E9-F9,2)</x:f>
        <x:v>0</x:v>
      </x:c>
      <x:c r="H9" s="2" t="n">
        <x:f>IF(G9&gt;0,MAX(0,'Start Here'!$B$5-D9),0)</x:f>
        <x:v>0</x:v>
      </x:c>
      <x:c r="I9" s="2" t="str">
        <x:f>IF(G9=0,"Paid",IF(H9=0,"Current",IF(H9&lt;=30,"1-30",IF(H9&lt;=60,"31-60",IF(H9&lt;=90,"61-90","91+")))))</x:f>
        <x:v>Paid</x:v>
      </x:c>
      <x:c r="J9" s="2" t="n">
        <x:f>IF(G9=0,0,IF(H9=0,1,IF(H9&lt;=30,2,IF(H9&lt;=60,3,IF(H9&lt;=90,4,5)))))</x:f>
        <x:v>0</x:v>
      </x:c>
      <x:c r="K9" s="2" t="str">
        <x:f>'Invoices'!F9</x:f>
        <x:v>No</x:v>
      </x:c>
      <x:c r="L9" s="10" t="n">
        <x:f>'Start Here'!$B$5</x:f>
        <x:v>46295</x:v>
      </x:c>
    </x:row>
    <x:row r="10" ht="23" customHeight="1">
      <x:c r="A10" s="2" t="str">
        <x:f>'Invoices'!A10</x:f>
        <x:v>INV00006</x:v>
      </x:c>
      <x:c r="B10" s="2" t="str">
        <x:f>'Invoices'!B10</x:f>
        <x:v>C029</x:v>
      </x:c>
      <x:c r="C10" s="10" t="n">
        <x:f>'Invoices'!C10</x:f>
        <x:v>46291</x:v>
      </x:c>
      <x:c r="D10" s="10" t="n">
        <x:f>'Invoices'!D10</x:f>
        <x:v>46336</x:v>
      </x:c>
      <x:c r="E10" s="11" t="n">
        <x:f>'Invoices'!E10</x:f>
        <x:v>10933.43</x:v>
      </x:c>
      <x:c r="F10" s="11" t="n">
        <x:f>SUMIFS('Payments'!$E$5:$E$429,'Payments'!$B$5:$B$429,A10,'Payments'!$D$5:$D$429,"&lt;="&amp;'Start Here'!$B$5)</x:f>
        <x:v>0</x:v>
      </x:c>
      <x:c r="G10" s="11" t="n">
        <x:f>ROUND(E10-F10,2)</x:f>
        <x:v>10933.43</x:v>
      </x:c>
      <x:c r="H10" s="2" t="n">
        <x:f>IF(G10&gt;0,MAX(0,'Start Here'!$B$5-D10),0)</x:f>
        <x:v>0</x:v>
      </x:c>
      <x:c r="I10" s="2" t="str">
        <x:f>IF(G10=0,"Paid",IF(H10=0,"Current",IF(H10&lt;=30,"1-30",IF(H10&lt;=60,"31-60",IF(H10&lt;=90,"61-90","91+")))))</x:f>
        <x:v>Current</x:v>
      </x:c>
      <x:c r="J10" s="2" t="n">
        <x:f>IF(G10=0,0,IF(H10=0,1,IF(H10&lt;=30,2,IF(H10&lt;=60,3,IF(H10&lt;=90,4,5)))))</x:f>
        <x:v>1</x:v>
      </x:c>
      <x:c r="K10" s="2" t="str">
        <x:f>'Invoices'!F10</x:f>
        <x:v>No</x:v>
      </x:c>
      <x:c r="L10" s="10" t="n">
        <x:f>'Start Here'!$B$5</x:f>
        <x:v>46295</x:v>
      </x:c>
    </x:row>
    <x:row r="11" ht="23" customHeight="1">
      <x:c r="A11" s="2" t="str">
        <x:f>'Invoices'!A11</x:f>
        <x:v>INV00007</x:v>
      </x:c>
      <x:c r="B11" s="2" t="str">
        <x:f>'Invoices'!B11</x:f>
        <x:v>C039</x:v>
      </x:c>
      <x:c r="C11" s="10" t="n">
        <x:f>'Invoices'!C11</x:f>
        <x:v>46162</x:v>
      </x:c>
      <x:c r="D11" s="10" t="n">
        <x:f>'Invoices'!D11</x:f>
        <x:v>46192</x:v>
      </x:c>
      <x:c r="E11" s="11" t="n">
        <x:f>'Invoices'!E11</x:f>
        <x:v>4517.46</x:v>
      </x:c>
      <x:c r="F11" s="11" t="n">
        <x:f>SUMIFS('Payments'!$E$5:$E$429,'Payments'!$B$5:$B$429,A11,'Payments'!$D$5:$D$429,"&lt;="&amp;'Start Here'!$B$5)</x:f>
        <x:v>4517.46</x:v>
      </x:c>
      <x:c r="G11" s="11" t="n">
        <x:f>ROUND(E11-F11,2)</x:f>
        <x:v>0</x:v>
      </x:c>
      <x:c r="H11" s="2" t="n">
        <x:f>IF(G11&gt;0,MAX(0,'Start Here'!$B$5-D11),0)</x:f>
        <x:v>0</x:v>
      </x:c>
      <x:c r="I11" s="2" t="str">
        <x:f>IF(G11=0,"Paid",IF(H11=0,"Current",IF(H11&lt;=30,"1-30",IF(H11&lt;=60,"31-60",IF(H11&lt;=90,"61-90","91+")))))</x:f>
        <x:v>Paid</x:v>
      </x:c>
      <x:c r="J11" s="2" t="n">
        <x:f>IF(G11=0,0,IF(H11=0,1,IF(H11&lt;=30,2,IF(H11&lt;=60,3,IF(H11&lt;=90,4,5)))))</x:f>
        <x:v>0</x:v>
      </x:c>
      <x:c r="K11" s="2" t="str">
        <x:f>'Invoices'!F11</x:f>
        <x:v>No</x:v>
      </x:c>
      <x:c r="L11" s="10" t="n">
        <x:f>'Start Here'!$B$5</x:f>
        <x:v>46295</x:v>
      </x:c>
    </x:row>
    <x:row r="12" ht="23" customHeight="1">
      <x:c r="A12" s="2" t="str">
        <x:f>'Invoices'!A12</x:f>
        <x:v>INV00008</x:v>
      </x:c>
      <x:c r="B12" s="2" t="str">
        <x:f>'Invoices'!B12</x:f>
        <x:v>C007</x:v>
      </x:c>
      <x:c r="C12" s="10" t="n">
        <x:f>'Invoices'!C12</x:f>
        <x:v>46273</x:v>
      </x:c>
      <x:c r="D12" s="10" t="n">
        <x:f>'Invoices'!D12</x:f>
        <x:v>46303</x:v>
      </x:c>
      <x:c r="E12" s="11" t="n">
        <x:f>'Invoices'!E12</x:f>
        <x:v>11739.7</x:v>
      </x:c>
      <x:c r="F12" s="11" t="n">
        <x:f>SUMIFS('Payments'!$E$5:$E$429,'Payments'!$B$5:$B$429,A12,'Payments'!$D$5:$D$429,"&lt;="&amp;'Start Here'!$B$5)</x:f>
        <x:v>0</x:v>
      </x:c>
      <x:c r="G12" s="11" t="n">
        <x:f>ROUND(E12-F12,2)</x:f>
        <x:v>11739.7</x:v>
      </x:c>
      <x:c r="H12" s="2" t="n">
        <x:f>IF(G12&gt;0,MAX(0,'Start Here'!$B$5-D12),0)</x:f>
        <x:v>0</x:v>
      </x:c>
      <x:c r="I12" s="2" t="str">
        <x:f>IF(G12=0,"Paid",IF(H12=0,"Current",IF(H12&lt;=30,"1-30",IF(H12&lt;=60,"31-60",IF(H12&lt;=90,"61-90","91+")))))</x:f>
        <x:v>Current</x:v>
      </x:c>
      <x:c r="J12" s="2" t="n">
        <x:f>IF(G12=0,0,IF(H12=0,1,IF(H12&lt;=30,2,IF(H12&lt;=60,3,IF(H12&lt;=90,4,5)))))</x:f>
        <x:v>1</x:v>
      </x:c>
      <x:c r="K12" s="2" t="str">
        <x:f>'Invoices'!F12</x:f>
        <x:v>No</x:v>
      </x:c>
      <x:c r="L12" s="10" t="n">
        <x:f>'Start Here'!$B$5</x:f>
        <x:v>46295</x:v>
      </x:c>
    </x:row>
    <x:row r="13" ht="23" customHeight="1">
      <x:c r="A13" s="2" t="str">
        <x:f>'Invoices'!A13</x:f>
        <x:v>INV00009</x:v>
      </x:c>
      <x:c r="B13" s="2" t="str">
        <x:f>'Invoices'!B13</x:f>
        <x:v>C011</x:v>
      </x:c>
      <x:c r="C13" s="10" t="n">
        <x:f>'Invoices'!C13</x:f>
        <x:v>46267</x:v>
      </x:c>
      <x:c r="D13" s="10" t="n">
        <x:f>'Invoices'!D13</x:f>
        <x:v>46327</x:v>
      </x:c>
      <x:c r="E13" s="11" t="n">
        <x:f>'Invoices'!E13</x:f>
        <x:v>3752.08</x:v>
      </x:c>
      <x:c r="F13" s="11" t="n">
        <x:f>SUMIFS('Payments'!$E$5:$E$429,'Payments'!$B$5:$B$429,A13,'Payments'!$D$5:$D$429,"&lt;="&amp;'Start Here'!$B$5)</x:f>
        <x:v>0</x:v>
      </x:c>
      <x:c r="G13" s="11" t="n">
        <x:f>ROUND(E13-F13,2)</x:f>
        <x:v>3752.08</x:v>
      </x:c>
      <x:c r="H13" s="2" t="n">
        <x:f>IF(G13&gt;0,MAX(0,'Start Here'!$B$5-D13),0)</x:f>
        <x:v>0</x:v>
      </x:c>
      <x:c r="I13" s="2" t="str">
        <x:f>IF(G13=0,"Paid",IF(H13=0,"Current",IF(H13&lt;=30,"1-30",IF(H13&lt;=60,"31-60",IF(H13&lt;=90,"61-90","91+")))))</x:f>
        <x:v>Current</x:v>
      </x:c>
      <x:c r="J13" s="2" t="n">
        <x:f>IF(G13=0,0,IF(H13=0,1,IF(H13&lt;=30,2,IF(H13&lt;=60,3,IF(H13&lt;=90,4,5)))))</x:f>
        <x:v>1</x:v>
      </x:c>
      <x:c r="K13" s="2" t="str">
        <x:f>'Invoices'!F13</x:f>
        <x:v>No</x:v>
      </x:c>
      <x:c r="L13" s="10" t="n">
        <x:f>'Start Here'!$B$5</x:f>
        <x:v>46295</x:v>
      </x:c>
    </x:row>
    <x:row r="14" ht="23" customHeight="1">
      <x:c r="A14" s="2" t="str">
        <x:f>'Invoices'!A14</x:f>
        <x:v>INV00010</x:v>
      </x:c>
      <x:c r="B14" s="2" t="str">
        <x:f>'Invoices'!B14</x:f>
        <x:v>C033</x:v>
      </x:c>
      <x:c r="C14" s="10" t="n">
        <x:f>'Invoices'!C14</x:f>
        <x:v>46292</x:v>
      </x:c>
      <x:c r="D14" s="10" t="n">
        <x:f>'Invoices'!D14</x:f>
        <x:v>46322</x:v>
      </x:c>
      <x:c r="E14" s="11" t="n">
        <x:f>'Invoices'!E14</x:f>
        <x:v>6223.08</x:v>
      </x:c>
      <x:c r="F14" s="11" t="n">
        <x:f>SUMIFS('Payments'!$E$5:$E$429,'Payments'!$B$5:$B$429,A14,'Payments'!$D$5:$D$429,"&lt;="&amp;'Start Here'!$B$5)</x:f>
        <x:v>0</x:v>
      </x:c>
      <x:c r="G14" s="11" t="n">
        <x:f>ROUND(E14-F14,2)</x:f>
        <x:v>6223.08</x:v>
      </x:c>
      <x:c r="H14" s="2" t="n">
        <x:f>IF(G14&gt;0,MAX(0,'Start Here'!$B$5-D14),0)</x:f>
        <x:v>0</x:v>
      </x:c>
      <x:c r="I14" s="2" t="str">
        <x:f>IF(G14=0,"Paid",IF(H14=0,"Current",IF(H14&lt;=30,"1-30",IF(H14&lt;=60,"31-60",IF(H14&lt;=90,"61-90","91+")))))</x:f>
        <x:v>Current</x:v>
      </x:c>
      <x:c r="J14" s="2" t="n">
        <x:f>IF(G14=0,0,IF(H14=0,1,IF(H14&lt;=30,2,IF(H14&lt;=60,3,IF(H14&lt;=90,4,5)))))</x:f>
        <x:v>1</x:v>
      </x:c>
      <x:c r="K14" s="2" t="str">
        <x:f>'Invoices'!F14</x:f>
        <x:v>No</x:v>
      </x:c>
      <x:c r="L14" s="10" t="n">
        <x:f>'Start Here'!$B$5</x:f>
        <x:v>46295</x:v>
      </x:c>
    </x:row>
    <x:row r="15" ht="23" customHeight="1">
      <x:c r="A15" s="2" t="str">
        <x:f>'Invoices'!A15</x:f>
        <x:v>INV00011</x:v>
      </x:c>
      <x:c r="B15" s="2" t="str">
        <x:f>'Invoices'!B15</x:f>
        <x:v>C010</x:v>
      </x:c>
      <x:c r="C15" s="10" t="n">
        <x:f>'Invoices'!C15</x:f>
        <x:v>46035</x:v>
      </x:c>
      <x:c r="D15" s="10" t="n">
        <x:f>'Invoices'!D15</x:f>
        <x:v>46065</x:v>
      </x:c>
      <x:c r="E15" s="11" t="n">
        <x:f>'Invoices'!E15</x:f>
        <x:v>19400.15</x:v>
      </x:c>
      <x:c r="F15" s="11" t="n">
        <x:f>SUMIFS('Payments'!$E$5:$E$429,'Payments'!$B$5:$B$429,A15,'Payments'!$D$5:$D$429,"&lt;="&amp;'Start Here'!$B$5)</x:f>
        <x:v>0</x:v>
      </x:c>
      <x:c r="G15" s="11" t="n">
        <x:f>ROUND(E15-F15,2)</x:f>
        <x:v>19400.15</x:v>
      </x:c>
      <x:c r="H15" s="2" t="n">
        <x:f>IF(G15&gt;0,MAX(0,'Start Here'!$B$5-D15),0)</x:f>
        <x:v>230</x:v>
      </x:c>
      <x:c r="I15" s="2" t="str">
        <x:f>IF(G15=0,"Paid",IF(H15=0,"Current",IF(H15&lt;=30,"1-30",IF(H15&lt;=60,"31-60",IF(H15&lt;=90,"61-90","91+")))))</x:f>
        <x:v>91+</x:v>
      </x:c>
      <x:c r="J15" s="2" t="n">
        <x:f>IF(G15=0,0,IF(H15=0,1,IF(H15&lt;=30,2,IF(H15&lt;=60,3,IF(H15&lt;=90,4,5)))))</x:f>
        <x:v>5</x:v>
      </x:c>
      <x:c r="K15" s="2" t="str">
        <x:f>'Invoices'!F15</x:f>
        <x:v>No</x:v>
      </x:c>
      <x:c r="L15" s="10" t="n">
        <x:f>'Start Here'!$B$5</x:f>
        <x:v>46295</x:v>
      </x:c>
    </x:row>
    <x:row r="16" ht="23" customHeight="1">
      <x:c r="A16" s="2" t="str">
        <x:f>'Invoices'!A16</x:f>
        <x:v>INV00012</x:v>
      </x:c>
      <x:c r="B16" s="2" t="str">
        <x:f>'Invoices'!B16</x:f>
        <x:v>C021</x:v>
      </x:c>
      <x:c r="C16" s="10" t="n">
        <x:f>'Invoices'!C16</x:f>
        <x:v>46040</x:v>
      </x:c>
      <x:c r="D16" s="10" t="n">
        <x:f>'Invoices'!D16</x:f>
        <x:v>46070</x:v>
      </x:c>
      <x:c r="E16" s="11" t="n">
        <x:f>'Invoices'!E16</x:f>
        <x:v>5877.42</x:v>
      </x:c>
      <x:c r="F16" s="11" t="n">
        <x:f>SUMIFS('Payments'!$E$5:$E$429,'Payments'!$B$5:$B$429,A16,'Payments'!$D$5:$D$429,"&lt;="&amp;'Start Here'!$B$5)</x:f>
        <x:v>5877.42</x:v>
      </x:c>
      <x:c r="G16" s="11" t="n">
        <x:f>ROUND(E16-F16,2)</x:f>
        <x:v>0</x:v>
      </x:c>
      <x:c r="H16" s="2" t="n">
        <x:f>IF(G16&gt;0,MAX(0,'Start Here'!$B$5-D16),0)</x:f>
        <x:v>0</x:v>
      </x:c>
      <x:c r="I16" s="2" t="str">
        <x:f>IF(G16=0,"Paid",IF(H16=0,"Current",IF(H16&lt;=30,"1-30",IF(H16&lt;=60,"31-60",IF(H16&lt;=90,"61-90","91+")))))</x:f>
        <x:v>Paid</x:v>
      </x:c>
      <x:c r="J16" s="2" t="n">
        <x:f>IF(G16=0,0,IF(H16=0,1,IF(H16&lt;=30,2,IF(H16&lt;=60,3,IF(H16&lt;=90,4,5)))))</x:f>
        <x:v>0</x:v>
      </x:c>
      <x:c r="K16" s="2" t="str">
        <x:f>'Invoices'!F16</x:f>
        <x:v>No</x:v>
      </x:c>
      <x:c r="L16" s="10" t="n">
        <x:f>'Start Here'!$B$5</x:f>
        <x:v>46295</x:v>
      </x:c>
    </x:row>
    <x:row r="17" ht="23" customHeight="1">
      <x:c r="A17" s="2" t="str">
        <x:f>'Invoices'!A17</x:f>
        <x:v>INV00013</x:v>
      </x:c>
      <x:c r="B17" s="2" t="str">
        <x:f>'Invoices'!B17</x:f>
        <x:v>C016</x:v>
      </x:c>
      <x:c r="C17" s="10" t="n">
        <x:f>'Invoices'!C17</x:f>
        <x:v>46226</x:v>
      </x:c>
      <x:c r="D17" s="10" t="n">
        <x:f>'Invoices'!D17</x:f>
        <x:v>46271</x:v>
      </x:c>
      <x:c r="E17" s="11" t="n">
        <x:f>'Invoices'!E17</x:f>
        <x:v>3258.01</x:v>
      </x:c>
      <x:c r="F17" s="11" t="n">
        <x:f>SUMIFS('Payments'!$E$5:$E$429,'Payments'!$B$5:$B$429,A17,'Payments'!$D$5:$D$429,"&lt;="&amp;'Start Here'!$B$5)</x:f>
        <x:v>3258.01</x:v>
      </x:c>
      <x:c r="G17" s="11" t="n">
        <x:f>ROUND(E17-F17,2)</x:f>
        <x:v>0</x:v>
      </x:c>
      <x:c r="H17" s="2" t="n">
        <x:f>IF(G17&gt;0,MAX(0,'Start Here'!$B$5-D17),0)</x:f>
        <x:v>0</x:v>
      </x:c>
      <x:c r="I17" s="2" t="str">
        <x:f>IF(G17=0,"Paid",IF(H17=0,"Current",IF(H17&lt;=30,"1-30",IF(H17&lt;=60,"31-60",IF(H17&lt;=90,"61-90","91+")))))</x:f>
        <x:v>Paid</x:v>
      </x:c>
      <x:c r="J17" s="2" t="n">
        <x:f>IF(G17=0,0,IF(H17=0,1,IF(H17&lt;=30,2,IF(H17&lt;=60,3,IF(H17&lt;=90,4,5)))))</x:f>
        <x:v>0</x:v>
      </x:c>
      <x:c r="K17" s="2" t="str">
        <x:f>'Invoices'!F17</x:f>
        <x:v>No</x:v>
      </x:c>
      <x:c r="L17" s="10" t="n">
        <x:f>'Start Here'!$B$5</x:f>
        <x:v>46295</x:v>
      </x:c>
    </x:row>
    <x:row r="18" ht="23" customHeight="1">
      <x:c r="A18" s="2" t="str">
        <x:f>'Invoices'!A18</x:f>
        <x:v>INV00014</x:v>
      </x:c>
      <x:c r="B18" s="2" t="str">
        <x:f>'Invoices'!B18</x:f>
        <x:v>C003</x:v>
      </x:c>
      <x:c r="C18" s="10" t="n">
        <x:f>'Invoices'!C18</x:f>
        <x:v>46162</x:v>
      </x:c>
      <x:c r="D18" s="10" t="n">
        <x:f>'Invoices'!D18</x:f>
        <x:v>46177</x:v>
      </x:c>
      <x:c r="E18" s="11" t="n">
        <x:f>'Invoices'!E18</x:f>
        <x:v>3311.22</x:v>
      </x:c>
      <x:c r="F18" s="11" t="n">
        <x:f>SUMIFS('Payments'!$E$5:$E$429,'Payments'!$B$5:$B$429,A18,'Payments'!$D$5:$D$429,"&lt;="&amp;'Start Here'!$B$5)</x:f>
        <x:v>3311.22</x:v>
      </x:c>
      <x:c r="G18" s="11" t="n">
        <x:f>ROUND(E18-F18,2)</x:f>
        <x:v>0</x:v>
      </x:c>
      <x:c r="H18" s="2" t="n">
        <x:f>IF(G18&gt;0,MAX(0,'Start Here'!$B$5-D18),0)</x:f>
        <x:v>0</x:v>
      </x:c>
      <x:c r="I18" s="2" t="str">
        <x:f>IF(G18=0,"Paid",IF(H18=0,"Current",IF(H18&lt;=30,"1-30",IF(H18&lt;=60,"31-60",IF(H18&lt;=90,"61-90","91+")))))</x:f>
        <x:v>Paid</x:v>
      </x:c>
      <x:c r="J18" s="2" t="n">
        <x:f>IF(G18=0,0,IF(H18=0,1,IF(H18&lt;=30,2,IF(H18&lt;=60,3,IF(H18&lt;=90,4,5)))))</x:f>
        <x:v>0</x:v>
      </x:c>
      <x:c r="K18" s="2" t="str">
        <x:f>'Invoices'!F18</x:f>
        <x:v>No</x:v>
      </x:c>
      <x:c r="L18" s="10" t="n">
        <x:f>'Start Here'!$B$5</x:f>
        <x:v>46295</x:v>
      </x:c>
    </x:row>
    <x:row r="19" ht="23" customHeight="1">
      <x:c r="A19" s="2" t="str">
        <x:f>'Invoices'!A19</x:f>
        <x:v>INV00015</x:v>
      </x:c>
      <x:c r="B19" s="2" t="str">
        <x:f>'Invoices'!B19</x:f>
        <x:v>C029</x:v>
      </x:c>
      <x:c r="C19" s="10" t="n">
        <x:f>'Invoices'!C19</x:f>
        <x:v>46143</x:v>
      </x:c>
      <x:c r="D19" s="10" t="n">
        <x:f>'Invoices'!D19</x:f>
        <x:v>46188</x:v>
      </x:c>
      <x:c r="E19" s="11" t="n">
        <x:f>'Invoices'!E19</x:f>
        <x:v>3930.89</x:v>
      </x:c>
      <x:c r="F19" s="11" t="n">
        <x:f>SUMIFS('Payments'!$E$5:$E$429,'Payments'!$B$5:$B$429,A19,'Payments'!$D$5:$D$429,"&lt;="&amp;'Start Here'!$B$5)</x:f>
        <x:v>3930.89</x:v>
      </x:c>
      <x:c r="G19" s="11" t="n">
        <x:f>ROUND(E19-F19,2)</x:f>
        <x:v>0</x:v>
      </x:c>
      <x:c r="H19" s="2" t="n">
        <x:f>IF(G19&gt;0,MAX(0,'Start Here'!$B$5-D19),0)</x:f>
        <x:v>0</x:v>
      </x:c>
      <x:c r="I19" s="2" t="str">
        <x:f>IF(G19=0,"Paid",IF(H19=0,"Current",IF(H19&lt;=30,"1-30",IF(H19&lt;=60,"31-60",IF(H19&lt;=90,"61-90","91+")))))</x:f>
        <x:v>Paid</x:v>
      </x:c>
      <x:c r="J19" s="2" t="n">
        <x:f>IF(G19=0,0,IF(H19=0,1,IF(H19&lt;=30,2,IF(H19&lt;=60,3,IF(H19&lt;=90,4,5)))))</x:f>
        <x:v>0</x:v>
      </x:c>
      <x:c r="K19" s="2" t="str">
        <x:f>'Invoices'!F19</x:f>
        <x:v>No</x:v>
      </x:c>
      <x:c r="L19" s="10" t="n">
        <x:f>'Start Here'!$B$5</x:f>
        <x:v>46295</x:v>
      </x:c>
    </x:row>
    <x:row r="20" ht="23" customHeight="1">
      <x:c r="A20" s="2" t="str">
        <x:f>'Invoices'!A20</x:f>
        <x:v>INV00016</x:v>
      </x:c>
      <x:c r="B20" s="2" t="str">
        <x:f>'Invoices'!B20</x:f>
        <x:v>C015</x:v>
      </x:c>
      <x:c r="C20" s="10" t="n">
        <x:f>'Invoices'!C20</x:f>
        <x:v>46165</x:v>
      </x:c>
      <x:c r="D20" s="10" t="n">
        <x:f>'Invoices'!D20</x:f>
        <x:v>46195</x:v>
      </x:c>
      <x:c r="E20" s="11" t="n">
        <x:f>'Invoices'!E20</x:f>
        <x:v>15228.22</x:v>
      </x:c>
      <x:c r="F20" s="11" t="n">
        <x:f>SUMIFS('Payments'!$E$5:$E$429,'Payments'!$B$5:$B$429,A20,'Payments'!$D$5:$D$429,"&lt;="&amp;'Start Here'!$B$5)</x:f>
        <x:v>15228.220000000001</x:v>
      </x:c>
      <x:c r="G20" s="11" t="n">
        <x:f>ROUND(E20-F20,2)</x:f>
        <x:v>0</x:v>
      </x:c>
      <x:c r="H20" s="2" t="n">
        <x:f>IF(G20&gt;0,MAX(0,'Start Here'!$B$5-D20),0)</x:f>
        <x:v>0</x:v>
      </x:c>
      <x:c r="I20" s="2" t="str">
        <x:f>IF(G20=0,"Paid",IF(H20=0,"Current",IF(H20&lt;=30,"1-30",IF(H20&lt;=60,"31-60",IF(H20&lt;=90,"61-90","91+")))))</x:f>
        <x:v>Paid</x:v>
      </x:c>
      <x:c r="J20" s="2" t="n">
        <x:f>IF(G20=0,0,IF(H20=0,1,IF(H20&lt;=30,2,IF(H20&lt;=60,3,IF(H20&lt;=90,4,5)))))</x:f>
        <x:v>0</x:v>
      </x:c>
      <x:c r="K20" s="2" t="str">
        <x:f>'Invoices'!F20</x:f>
        <x:v>No</x:v>
      </x:c>
      <x:c r="L20" s="10" t="n">
        <x:f>'Start Here'!$B$5</x:f>
        <x:v>46295</x:v>
      </x:c>
    </x:row>
    <x:row r="21" ht="23" customHeight="1">
      <x:c r="A21" s="2" t="str">
        <x:f>'Invoices'!A21</x:f>
        <x:v>INV00017</x:v>
      </x:c>
      <x:c r="B21" s="2" t="str">
        <x:f>'Invoices'!B21</x:f>
        <x:v>C010</x:v>
      </x:c>
      <x:c r="C21" s="10" t="n">
        <x:f>'Invoices'!C21</x:f>
        <x:v>46233</x:v>
      </x:c>
      <x:c r="D21" s="10" t="n">
        <x:f>'Invoices'!D21</x:f>
        <x:v>46263</x:v>
      </x:c>
      <x:c r="E21" s="11" t="n">
        <x:f>'Invoices'!E21</x:f>
        <x:v>14153.93</x:v>
      </x:c>
      <x:c r="F21" s="11" t="n">
        <x:f>SUMIFS('Payments'!$E$5:$E$429,'Payments'!$B$5:$B$429,A21,'Payments'!$D$5:$D$429,"&lt;="&amp;'Start Here'!$B$5)</x:f>
        <x:v>14153.93</x:v>
      </x:c>
      <x:c r="G21" s="11" t="n">
        <x:f>ROUND(E21-F21,2)</x:f>
        <x:v>0</x:v>
      </x:c>
      <x:c r="H21" s="2" t="n">
        <x:f>IF(G21&gt;0,MAX(0,'Start Here'!$B$5-D21),0)</x:f>
        <x:v>0</x:v>
      </x:c>
      <x:c r="I21" s="2" t="str">
        <x:f>IF(G21=0,"Paid",IF(H21=0,"Current",IF(H21&lt;=30,"1-30",IF(H21&lt;=60,"31-60",IF(H21&lt;=90,"61-90","91+")))))</x:f>
        <x:v>Paid</x:v>
      </x:c>
      <x:c r="J21" s="2" t="n">
        <x:f>IF(G21=0,0,IF(H21=0,1,IF(H21&lt;=30,2,IF(H21&lt;=60,3,IF(H21&lt;=90,4,5)))))</x:f>
        <x:v>0</x:v>
      </x:c>
      <x:c r="K21" s="2" t="str">
        <x:f>'Invoices'!F21</x:f>
        <x:v>No</x:v>
      </x:c>
      <x:c r="L21" s="10" t="n">
        <x:f>'Start Here'!$B$5</x:f>
        <x:v>46295</x:v>
      </x:c>
    </x:row>
    <x:row r="22" ht="23" customHeight="1">
      <x:c r="A22" s="2" t="str">
        <x:f>'Invoices'!A22</x:f>
        <x:v>INV00018</x:v>
      </x:c>
      <x:c r="B22" s="2" t="str">
        <x:f>'Invoices'!B22</x:f>
        <x:v>C020</x:v>
      </x:c>
      <x:c r="C22" s="10" t="n">
        <x:f>'Invoices'!C22</x:f>
        <x:v>46290</x:v>
      </x:c>
      <x:c r="D22" s="10" t="n">
        <x:f>'Invoices'!D22</x:f>
        <x:v>46335</x:v>
      </x:c>
      <x:c r="E22" s="11" t="n">
        <x:f>'Invoices'!E22</x:f>
        <x:v>12919.1</x:v>
      </x:c>
      <x:c r="F22" s="11" t="n">
        <x:f>SUMIFS('Payments'!$E$5:$E$429,'Payments'!$B$5:$B$429,A22,'Payments'!$D$5:$D$429,"&lt;="&amp;'Start Here'!$B$5)</x:f>
        <x:v>0</x:v>
      </x:c>
      <x:c r="G22" s="11" t="n">
        <x:f>ROUND(E22-F22,2)</x:f>
        <x:v>12919.1</x:v>
      </x:c>
      <x:c r="H22" s="2" t="n">
        <x:f>IF(G22&gt;0,MAX(0,'Start Here'!$B$5-D22),0)</x:f>
        <x:v>0</x:v>
      </x:c>
      <x:c r="I22" s="2" t="str">
        <x:f>IF(G22=0,"Paid",IF(H22=0,"Current",IF(H22&lt;=30,"1-30",IF(H22&lt;=60,"31-60",IF(H22&lt;=90,"61-90","91+")))))</x:f>
        <x:v>Current</x:v>
      </x:c>
      <x:c r="J22" s="2" t="n">
        <x:f>IF(G22=0,0,IF(H22=0,1,IF(H22&lt;=30,2,IF(H22&lt;=60,3,IF(H22&lt;=90,4,5)))))</x:f>
        <x:v>1</x:v>
      </x:c>
      <x:c r="K22" s="2" t="str">
        <x:f>'Invoices'!F22</x:f>
        <x:v>No</x:v>
      </x:c>
      <x:c r="L22" s="10" t="n">
        <x:f>'Start Here'!$B$5</x:f>
        <x:v>46295</x:v>
      </x:c>
    </x:row>
    <x:row r="23" ht="23" customHeight="1">
      <x:c r="A23" s="2" t="str">
        <x:f>'Invoices'!A23</x:f>
        <x:v>INV00019</x:v>
      </x:c>
      <x:c r="B23" s="2" t="str">
        <x:f>'Invoices'!B23</x:f>
        <x:v>C033</x:v>
      </x:c>
      <x:c r="C23" s="10" t="n">
        <x:f>'Invoices'!C23</x:f>
        <x:v>46176</x:v>
      </x:c>
      <x:c r="D23" s="10" t="n">
        <x:f>'Invoices'!D23</x:f>
        <x:v>46191</x:v>
      </x:c>
      <x:c r="E23" s="11" t="n">
        <x:f>'Invoices'!E23</x:f>
        <x:v>13595.52</x:v>
      </x:c>
      <x:c r="F23" s="11" t="n">
        <x:f>SUMIFS('Payments'!$E$5:$E$429,'Payments'!$B$5:$B$429,A23,'Payments'!$D$5:$D$429,"&lt;="&amp;'Start Here'!$B$5)</x:f>
        <x:v>13595.52</x:v>
      </x:c>
      <x:c r="G23" s="11" t="n">
        <x:f>ROUND(E23-F23,2)</x:f>
        <x:v>0</x:v>
      </x:c>
      <x:c r="H23" s="2" t="n">
        <x:f>IF(G23&gt;0,MAX(0,'Start Here'!$B$5-D23),0)</x:f>
        <x:v>0</x:v>
      </x:c>
      <x:c r="I23" s="2" t="str">
        <x:f>IF(G23=0,"Paid",IF(H23=0,"Current",IF(H23&lt;=30,"1-30",IF(H23&lt;=60,"31-60",IF(H23&lt;=90,"61-90","91+")))))</x:f>
        <x:v>Paid</x:v>
      </x:c>
      <x:c r="J23" s="2" t="n">
        <x:f>IF(G23=0,0,IF(H23=0,1,IF(H23&lt;=30,2,IF(H23&lt;=60,3,IF(H23&lt;=90,4,5)))))</x:f>
        <x:v>0</x:v>
      </x:c>
      <x:c r="K23" s="2" t="str">
        <x:f>'Invoices'!F23</x:f>
        <x:v>No</x:v>
      </x:c>
      <x:c r="L23" s="10" t="n">
        <x:f>'Start Here'!$B$5</x:f>
        <x:v>46295</x:v>
      </x:c>
    </x:row>
    <x:row r="24" ht="23" customHeight="1">
      <x:c r="A24" s="2" t="str">
        <x:f>'Invoices'!A24</x:f>
        <x:v>INV00020</x:v>
      </x:c>
      <x:c r="B24" s="2" t="str">
        <x:f>'Invoices'!B24</x:f>
        <x:v>C014</x:v>
      </x:c>
      <x:c r="C24" s="10" t="n">
        <x:f>'Invoices'!C24</x:f>
        <x:v>46143</x:v>
      </x:c>
      <x:c r="D24" s="10" t="n">
        <x:f>'Invoices'!D24</x:f>
        <x:v>46203</x:v>
      </x:c>
      <x:c r="E24" s="11" t="n">
        <x:f>'Invoices'!E24</x:f>
        <x:v>637.61</x:v>
      </x:c>
      <x:c r="F24" s="11" t="n">
        <x:f>SUMIFS('Payments'!$E$5:$E$429,'Payments'!$B$5:$B$429,A24,'Payments'!$D$5:$D$429,"&lt;="&amp;'Start Here'!$B$5)</x:f>
        <x:v>637.61</x:v>
      </x:c>
      <x:c r="G24" s="11" t="n">
        <x:f>ROUND(E24-F24,2)</x:f>
        <x:v>0</x:v>
      </x:c>
      <x:c r="H24" s="2" t="n">
        <x:f>IF(G24&gt;0,MAX(0,'Start Here'!$B$5-D24),0)</x:f>
        <x:v>0</x:v>
      </x:c>
      <x:c r="I24" s="2" t="str">
        <x:f>IF(G24=0,"Paid",IF(H24=0,"Current",IF(H24&lt;=30,"1-30",IF(H24&lt;=60,"31-60",IF(H24&lt;=90,"61-90","91+")))))</x:f>
        <x:v>Paid</x:v>
      </x:c>
      <x:c r="J24" s="2" t="n">
        <x:f>IF(G24=0,0,IF(H24=0,1,IF(H24&lt;=30,2,IF(H24&lt;=60,3,IF(H24&lt;=90,4,5)))))</x:f>
        <x:v>0</x:v>
      </x:c>
      <x:c r="K24" s="2" t="str">
        <x:f>'Invoices'!F24</x:f>
        <x:v>No</x:v>
      </x:c>
      <x:c r="L24" s="10" t="n">
        <x:f>'Start Here'!$B$5</x:f>
        <x:v>46295</x:v>
      </x:c>
    </x:row>
    <x:row r="25" ht="23" customHeight="1">
      <x:c r="A25" s="2" t="str">
        <x:f>'Invoices'!A25</x:f>
        <x:v>INV00021</x:v>
      </x:c>
      <x:c r="B25" s="2" t="str">
        <x:f>'Invoices'!B25</x:f>
        <x:v>C032</x:v>
      </x:c>
      <x:c r="C25" s="10" t="n">
        <x:f>'Invoices'!C25</x:f>
        <x:v>46129</x:v>
      </x:c>
      <x:c r="D25" s="10" t="n">
        <x:f>'Invoices'!D25</x:f>
        <x:v>46189</x:v>
      </x:c>
      <x:c r="E25" s="11" t="n">
        <x:f>'Invoices'!E25</x:f>
        <x:v>4007.63</x:v>
      </x:c>
      <x:c r="F25" s="11" t="n">
        <x:f>SUMIFS('Payments'!$E$5:$E$429,'Payments'!$B$5:$B$429,A25,'Payments'!$D$5:$D$429,"&lt;="&amp;'Start Here'!$B$5)</x:f>
        <x:v>0</x:v>
      </x:c>
      <x:c r="G25" s="11" t="n">
        <x:f>ROUND(E25-F25,2)</x:f>
        <x:v>4007.63</x:v>
      </x:c>
      <x:c r="H25" s="2" t="n">
        <x:f>IF(G25&gt;0,MAX(0,'Start Here'!$B$5-D25),0)</x:f>
        <x:v>106</x:v>
      </x:c>
      <x:c r="I25" s="2" t="str">
        <x:f>IF(G25=0,"Paid",IF(H25=0,"Current",IF(H25&lt;=30,"1-30",IF(H25&lt;=60,"31-60",IF(H25&lt;=90,"61-90","91+")))))</x:f>
        <x:v>91+</x:v>
      </x:c>
      <x:c r="J25" s="2" t="n">
        <x:f>IF(G25=0,0,IF(H25=0,1,IF(H25&lt;=30,2,IF(H25&lt;=60,3,IF(H25&lt;=90,4,5)))))</x:f>
        <x:v>5</x:v>
      </x:c>
      <x:c r="K25" s="2" t="str">
        <x:f>'Invoices'!F25</x:f>
        <x:v>No</x:v>
      </x:c>
      <x:c r="L25" s="10" t="n">
        <x:f>'Start Here'!$B$5</x:f>
        <x:v>46295</x:v>
      </x:c>
    </x:row>
    <x:row r="26" ht="23" customHeight="1">
      <x:c r="A26" s="2" t="str">
        <x:f>'Invoices'!A26</x:f>
        <x:v>INV00022</x:v>
      </x:c>
      <x:c r="B26" s="2" t="str">
        <x:f>'Invoices'!B26</x:f>
        <x:v>C015</x:v>
      </x:c>
      <x:c r="C26" s="10" t="n">
        <x:f>'Invoices'!C26</x:f>
        <x:v>46257</x:v>
      </x:c>
      <x:c r="D26" s="10" t="n">
        <x:f>'Invoices'!D26</x:f>
        <x:v>46302</x:v>
      </x:c>
      <x:c r="E26" s="11" t="n">
        <x:f>'Invoices'!E26</x:f>
        <x:v>18849.44</x:v>
      </x:c>
      <x:c r="F26" s="11" t="n">
        <x:f>SUMIFS('Payments'!$E$5:$E$429,'Payments'!$B$5:$B$429,A26,'Payments'!$D$5:$D$429,"&lt;="&amp;'Start Here'!$B$5)</x:f>
        <x:v>0</x:v>
      </x:c>
      <x:c r="G26" s="11" t="n">
        <x:f>ROUND(E26-F26,2)</x:f>
        <x:v>18849.44</x:v>
      </x:c>
      <x:c r="H26" s="2" t="n">
        <x:f>IF(G26&gt;0,MAX(0,'Start Here'!$B$5-D26),0)</x:f>
        <x:v>0</x:v>
      </x:c>
      <x:c r="I26" s="2" t="str">
        <x:f>IF(G26=0,"Paid",IF(H26=0,"Current",IF(H26&lt;=30,"1-30",IF(H26&lt;=60,"31-60",IF(H26&lt;=90,"61-90","91+")))))</x:f>
        <x:v>Current</x:v>
      </x:c>
      <x:c r="J26" s="2" t="n">
        <x:f>IF(G26=0,0,IF(H26=0,1,IF(H26&lt;=30,2,IF(H26&lt;=60,3,IF(H26&lt;=90,4,5)))))</x:f>
        <x:v>1</x:v>
      </x:c>
      <x:c r="K26" s="2" t="str">
        <x:f>'Invoices'!F26</x:f>
        <x:v>No</x:v>
      </x:c>
      <x:c r="L26" s="10" t="n">
        <x:f>'Start Here'!$B$5</x:f>
        <x:v>46295</x:v>
      </x:c>
    </x:row>
    <x:row r="27" ht="23" customHeight="1">
      <x:c r="A27" s="2" t="str">
        <x:f>'Invoices'!A27</x:f>
        <x:v>INV00023</x:v>
      </x:c>
      <x:c r="B27" s="2" t="str">
        <x:f>'Invoices'!B27</x:f>
        <x:v>C037</x:v>
      </x:c>
      <x:c r="C27" s="10" t="n">
        <x:f>'Invoices'!C27</x:f>
        <x:v>46262</x:v>
      </x:c>
      <x:c r="D27" s="10" t="n">
        <x:f>'Invoices'!D27</x:f>
        <x:v>46292</x:v>
      </x:c>
      <x:c r="E27" s="11" t="n">
        <x:f>'Invoices'!E27</x:f>
        <x:v>10456.67</x:v>
      </x:c>
      <x:c r="F27" s="11" t="n">
        <x:f>SUMIFS('Payments'!$E$5:$E$429,'Payments'!$B$5:$B$429,A27,'Payments'!$D$5:$D$429,"&lt;="&amp;'Start Here'!$B$5)</x:f>
        <x:v>10456.67</x:v>
      </x:c>
      <x:c r="G27" s="11" t="n">
        <x:f>ROUND(E27-F27,2)</x:f>
        <x:v>0</x:v>
      </x:c>
      <x:c r="H27" s="2" t="n">
        <x:f>IF(G27&gt;0,MAX(0,'Start Here'!$B$5-D27),0)</x:f>
        <x:v>0</x:v>
      </x:c>
      <x:c r="I27" s="2" t="str">
        <x:f>IF(G27=0,"Paid",IF(H27=0,"Current",IF(H27&lt;=30,"1-30",IF(H27&lt;=60,"31-60",IF(H27&lt;=90,"61-90","91+")))))</x:f>
        <x:v>Paid</x:v>
      </x:c>
      <x:c r="J27" s="2" t="n">
        <x:f>IF(G27=0,0,IF(H27=0,1,IF(H27&lt;=30,2,IF(H27&lt;=60,3,IF(H27&lt;=90,4,5)))))</x:f>
        <x:v>0</x:v>
      </x:c>
      <x:c r="K27" s="2" t="str">
        <x:f>'Invoices'!F27</x:f>
        <x:v>No</x:v>
      </x:c>
      <x:c r="L27" s="10" t="n">
        <x:f>'Start Here'!$B$5</x:f>
        <x:v>46295</x:v>
      </x:c>
    </x:row>
    <x:row r="28" ht="23" customHeight="1">
      <x:c r="A28" s="2" t="str">
        <x:f>'Invoices'!A28</x:f>
        <x:v>INV00024</x:v>
      </x:c>
      <x:c r="B28" s="2" t="str">
        <x:f>'Invoices'!B28</x:f>
        <x:v>C024</x:v>
      </x:c>
      <x:c r="C28" s="10" t="n">
        <x:f>'Invoices'!C28</x:f>
        <x:v>46202</x:v>
      </x:c>
      <x:c r="D28" s="10" t="n">
        <x:f>'Invoices'!D28</x:f>
        <x:v>46232</x:v>
      </x:c>
      <x:c r="E28" s="11" t="n">
        <x:f>'Invoices'!E28</x:f>
        <x:v>15601.39</x:v>
      </x:c>
      <x:c r="F28" s="11" t="n">
        <x:f>SUMIFS('Payments'!$E$5:$E$429,'Payments'!$B$5:$B$429,A28,'Payments'!$D$5:$D$429,"&lt;="&amp;'Start Here'!$B$5)</x:f>
        <x:v>5460.49</x:v>
      </x:c>
      <x:c r="G28" s="11" t="n">
        <x:f>ROUND(E28-F28,2)</x:f>
        <x:v>10140.9</x:v>
      </x:c>
      <x:c r="H28" s="2" t="n">
        <x:f>IF(G28&gt;0,MAX(0,'Start Here'!$B$5-D28),0)</x:f>
        <x:v>63</x:v>
      </x:c>
      <x:c r="I28" s="2" t="str">
        <x:f>IF(G28=0,"Paid",IF(H28=0,"Current",IF(H28&lt;=30,"1-30",IF(H28&lt;=60,"31-60",IF(H28&lt;=90,"61-90","91+")))))</x:f>
        <x:v>61-90</x:v>
      </x:c>
      <x:c r="J28" s="2" t="n">
        <x:f>IF(G28=0,0,IF(H28=0,1,IF(H28&lt;=30,2,IF(H28&lt;=60,3,IF(H28&lt;=90,4,5)))))</x:f>
        <x:v>4</x:v>
      </x:c>
      <x:c r="K28" s="2" t="str">
        <x:f>'Invoices'!F28</x:f>
        <x:v>Yes</x:v>
      </x:c>
      <x:c r="L28" s="10" t="n">
        <x:f>'Start Here'!$B$5</x:f>
        <x:v>46295</x:v>
      </x:c>
    </x:row>
    <x:row r="29" ht="23" customHeight="1">
      <x:c r="A29" s="2" t="str">
        <x:f>'Invoices'!A29</x:f>
        <x:v>INV00025</x:v>
      </x:c>
      <x:c r="B29" s="2" t="str">
        <x:f>'Invoices'!B29</x:f>
        <x:v>C034</x:v>
      </x:c>
      <x:c r="C29" s="10" t="n">
        <x:f>'Invoices'!C29</x:f>
        <x:v>46260</x:v>
      </x:c>
      <x:c r="D29" s="10" t="n">
        <x:f>'Invoices'!D29</x:f>
        <x:v>46275</x:v>
      </x:c>
      <x:c r="E29" s="11" t="n">
        <x:f>'Invoices'!E29</x:f>
        <x:v>3366.88</x:v>
      </x:c>
      <x:c r="F29" s="11" t="n">
        <x:f>SUMIFS('Payments'!$E$5:$E$429,'Payments'!$B$5:$B$429,A29,'Payments'!$D$5:$D$429,"&lt;="&amp;'Start Here'!$B$5)</x:f>
        <x:v>2020.13</x:v>
      </x:c>
      <x:c r="G29" s="11" t="n">
        <x:f>ROUND(E29-F29,2)</x:f>
        <x:v>1346.75</x:v>
      </x:c>
      <x:c r="H29" s="2" t="n">
        <x:f>IF(G29&gt;0,MAX(0,'Start Here'!$B$5-D29),0)</x:f>
        <x:v>20</x:v>
      </x:c>
      <x:c r="I29" s="2" t="str">
        <x:f>IF(G29=0,"Paid",IF(H29=0,"Current",IF(H29&lt;=30,"1-30",IF(H29&lt;=60,"31-60",IF(H29&lt;=90,"61-90","91+")))))</x:f>
        <x:v>1-30</x:v>
      </x:c>
      <x:c r="J29" s="2" t="n">
        <x:f>IF(G29=0,0,IF(H29=0,1,IF(H29&lt;=30,2,IF(H29&lt;=60,3,IF(H29&lt;=90,4,5)))))</x:f>
        <x:v>2</x:v>
      </x:c>
      <x:c r="K29" s="2" t="str">
        <x:f>'Invoices'!F29</x:f>
        <x:v>No</x:v>
      </x:c>
      <x:c r="L29" s="10" t="n">
        <x:f>'Start Here'!$B$5</x:f>
        <x:v>46295</x:v>
      </x:c>
    </x:row>
    <x:row r="30" ht="23" customHeight="1">
      <x:c r="A30" s="2" t="str">
        <x:f>'Invoices'!A30</x:f>
        <x:v>INV00026</x:v>
      </x:c>
      <x:c r="B30" s="2" t="str">
        <x:f>'Invoices'!B30</x:f>
        <x:v>C009</x:v>
      </x:c>
      <x:c r="C30" s="10" t="n">
        <x:f>'Invoices'!C30</x:f>
        <x:v>46286</x:v>
      </x:c>
      <x:c r="D30" s="10" t="n">
        <x:f>'Invoices'!D30</x:f>
        <x:v>46346</x:v>
      </x:c>
      <x:c r="E30" s="11" t="n">
        <x:f>'Invoices'!E30</x:f>
        <x:v>19476.45</x:v>
      </x:c>
      <x:c r="F30" s="11" t="n">
        <x:f>SUMIFS('Payments'!$E$5:$E$429,'Payments'!$B$5:$B$429,A30,'Payments'!$D$5:$D$429,"&lt;="&amp;'Start Here'!$B$5)</x:f>
        <x:v>0</x:v>
      </x:c>
      <x:c r="G30" s="11" t="n">
        <x:f>ROUND(E30-F30,2)</x:f>
        <x:v>19476.45</x:v>
      </x:c>
      <x:c r="H30" s="2" t="n">
        <x:f>IF(G30&gt;0,MAX(0,'Start Here'!$B$5-D30),0)</x:f>
        <x:v>0</x:v>
      </x:c>
      <x:c r="I30" s="2" t="str">
        <x:f>IF(G30=0,"Paid",IF(H30=0,"Current",IF(H30&lt;=30,"1-30",IF(H30&lt;=60,"31-60",IF(H30&lt;=90,"61-90","91+")))))</x:f>
        <x:v>Current</x:v>
      </x:c>
      <x:c r="J30" s="2" t="n">
        <x:f>IF(G30=0,0,IF(H30=0,1,IF(H30&lt;=30,2,IF(H30&lt;=60,3,IF(H30&lt;=90,4,5)))))</x:f>
        <x:v>1</x:v>
      </x:c>
      <x:c r="K30" s="2" t="str">
        <x:f>'Invoices'!F30</x:f>
        <x:v>No</x:v>
      </x:c>
      <x:c r="L30" s="10" t="n">
        <x:f>'Start Here'!$B$5</x:f>
        <x:v>46295</x:v>
      </x:c>
    </x:row>
    <x:row r="31" ht="23" customHeight="1">
      <x:c r="A31" s="2" t="str">
        <x:f>'Invoices'!A31</x:f>
        <x:v>INV00027</x:v>
      </x:c>
      <x:c r="B31" s="2" t="str">
        <x:f>'Invoices'!B31</x:f>
        <x:v>C029</x:v>
      </x:c>
      <x:c r="C31" s="10" t="n">
        <x:f>'Invoices'!C31</x:f>
        <x:v>46141</x:v>
      </x:c>
      <x:c r="D31" s="10" t="n">
        <x:f>'Invoices'!D31</x:f>
        <x:v>46201</x:v>
      </x:c>
      <x:c r="E31" s="11" t="n">
        <x:f>'Invoices'!E31</x:f>
        <x:v>10450.33</x:v>
      </x:c>
      <x:c r="F31" s="11" t="n">
        <x:f>SUMIFS('Payments'!$E$5:$E$429,'Payments'!$B$5:$B$429,A31,'Payments'!$D$5:$D$429,"&lt;="&amp;'Start Here'!$B$5)</x:f>
        <x:v>3657.62</x:v>
      </x:c>
      <x:c r="G31" s="11" t="n">
        <x:f>ROUND(E31-F31,2)</x:f>
        <x:v>6792.71</x:v>
      </x:c>
      <x:c r="H31" s="2" t="n">
        <x:f>IF(G31&gt;0,MAX(0,'Start Here'!$B$5-D31),0)</x:f>
        <x:v>94</x:v>
      </x:c>
      <x:c r="I31" s="2" t="str">
        <x:f>IF(G31=0,"Paid",IF(H31=0,"Current",IF(H31&lt;=30,"1-30",IF(H31&lt;=60,"31-60",IF(H31&lt;=90,"61-90","91+")))))</x:f>
        <x:v>91+</x:v>
      </x:c>
      <x:c r="J31" s="2" t="n">
        <x:f>IF(G31=0,0,IF(H31=0,1,IF(H31&lt;=30,2,IF(H31&lt;=60,3,IF(H31&lt;=90,4,5)))))</x:f>
        <x:v>5</x:v>
      </x:c>
      <x:c r="K31" s="2" t="str">
        <x:f>'Invoices'!F31</x:f>
        <x:v>Yes</x:v>
      </x:c>
      <x:c r="L31" s="10" t="n">
        <x:f>'Start Here'!$B$5</x:f>
        <x:v>46295</x:v>
      </x:c>
    </x:row>
    <x:row r="32" ht="23" customHeight="1">
      <x:c r="A32" s="2" t="str">
        <x:f>'Invoices'!A32</x:f>
        <x:v>INV00028</x:v>
      </x:c>
      <x:c r="B32" s="2" t="str">
        <x:f>'Invoices'!B32</x:f>
        <x:v>C007</x:v>
      </x:c>
      <x:c r="C32" s="10" t="n">
        <x:f>'Invoices'!C32</x:f>
        <x:v>46085</x:v>
      </x:c>
      <x:c r="D32" s="10" t="n">
        <x:f>'Invoices'!D32</x:f>
        <x:v>46115</x:v>
      </x:c>
      <x:c r="E32" s="11" t="n">
        <x:f>'Invoices'!E32</x:f>
        <x:v>11289.4</x:v>
      </x:c>
      <x:c r="F32" s="11" t="n">
        <x:f>SUMIFS('Payments'!$E$5:$E$429,'Payments'!$B$5:$B$429,A32,'Payments'!$D$5:$D$429,"&lt;="&amp;'Start Here'!$B$5)</x:f>
        <x:v>0</x:v>
      </x:c>
      <x:c r="G32" s="11" t="n">
        <x:f>ROUND(E32-F32,2)</x:f>
        <x:v>11289.4</x:v>
      </x:c>
      <x:c r="H32" s="2" t="n">
        <x:f>IF(G32&gt;0,MAX(0,'Start Here'!$B$5-D32),0)</x:f>
        <x:v>180</x:v>
      </x:c>
      <x:c r="I32" s="2" t="str">
        <x:f>IF(G32=0,"Paid",IF(H32=0,"Current",IF(H32&lt;=30,"1-30",IF(H32&lt;=60,"31-60",IF(H32&lt;=90,"61-90","91+")))))</x:f>
        <x:v>91+</x:v>
      </x:c>
      <x:c r="J32" s="2" t="n">
        <x:f>IF(G32=0,0,IF(H32=0,1,IF(H32&lt;=30,2,IF(H32&lt;=60,3,IF(H32&lt;=90,4,5)))))</x:f>
        <x:v>5</x:v>
      </x:c>
      <x:c r="K32" s="2" t="str">
        <x:f>'Invoices'!F32</x:f>
        <x:v>No</x:v>
      </x:c>
      <x:c r="L32" s="10" t="n">
        <x:f>'Start Here'!$B$5</x:f>
        <x:v>46295</x:v>
      </x:c>
    </x:row>
    <x:row r="33" ht="23" customHeight="1">
      <x:c r="A33" s="2" t="str">
        <x:f>'Invoices'!A33</x:f>
        <x:v>INV00029</x:v>
      </x:c>
      <x:c r="B33" s="2" t="str">
        <x:f>'Invoices'!B33</x:f>
        <x:v>C021</x:v>
      </x:c>
      <x:c r="C33" s="10" t="n">
        <x:f>'Invoices'!C33</x:f>
        <x:v>46027</x:v>
      </x:c>
      <x:c r="D33" s="10" t="n">
        <x:f>'Invoices'!D33</x:f>
        <x:v>46057</x:v>
      </x:c>
      <x:c r="E33" s="11" t="n">
        <x:f>'Invoices'!E33</x:f>
        <x:v>4205.66</x:v>
      </x:c>
      <x:c r="F33" s="11" t="n">
        <x:f>SUMIFS('Payments'!$E$5:$E$429,'Payments'!$B$5:$B$429,A33,'Payments'!$D$5:$D$429,"&lt;="&amp;'Start Here'!$B$5)</x:f>
        <x:v>4205.66</x:v>
      </x:c>
      <x:c r="G33" s="11" t="n">
        <x:f>ROUND(E33-F33,2)</x:f>
        <x:v>0</x:v>
      </x:c>
      <x:c r="H33" s="2" t="n">
        <x:f>IF(G33&gt;0,MAX(0,'Start Here'!$B$5-D33),0)</x:f>
        <x:v>0</x:v>
      </x:c>
      <x:c r="I33" s="2" t="str">
        <x:f>IF(G33=0,"Paid",IF(H33=0,"Current",IF(H33&lt;=30,"1-30",IF(H33&lt;=60,"31-60",IF(H33&lt;=90,"61-90","91+")))))</x:f>
        <x:v>Paid</x:v>
      </x:c>
      <x:c r="J33" s="2" t="n">
        <x:f>IF(G33=0,0,IF(H33=0,1,IF(H33&lt;=30,2,IF(H33&lt;=60,3,IF(H33&lt;=90,4,5)))))</x:f>
        <x:v>0</x:v>
      </x:c>
      <x:c r="K33" s="2" t="str">
        <x:f>'Invoices'!F33</x:f>
        <x:v>No</x:v>
      </x:c>
      <x:c r="L33" s="10" t="n">
        <x:f>'Start Here'!$B$5</x:f>
        <x:v>46295</x:v>
      </x:c>
    </x:row>
    <x:row r="34" ht="23" customHeight="1">
      <x:c r="A34" s="2" t="str">
        <x:f>'Invoices'!A34</x:f>
        <x:v>INV00030</x:v>
      </x:c>
      <x:c r="B34" s="2" t="str">
        <x:f>'Invoices'!B34</x:f>
        <x:v>C009</x:v>
      </x:c>
      <x:c r="C34" s="10" t="n">
        <x:f>'Invoices'!C34</x:f>
        <x:v>46256</x:v>
      </x:c>
      <x:c r="D34" s="10" t="n">
        <x:f>'Invoices'!D34</x:f>
        <x:v>46301</x:v>
      </x:c>
      <x:c r="E34" s="11" t="n">
        <x:f>'Invoices'!E34</x:f>
        <x:v>8921.45</x:v>
      </x:c>
      <x:c r="F34" s="11" t="n">
        <x:f>SUMIFS('Payments'!$E$5:$E$429,'Payments'!$B$5:$B$429,A34,'Payments'!$D$5:$D$429,"&lt;="&amp;'Start Here'!$B$5)</x:f>
        <x:v>0</x:v>
      </x:c>
      <x:c r="G34" s="11" t="n">
        <x:f>ROUND(E34-F34,2)</x:f>
        <x:v>8921.45</x:v>
      </x:c>
      <x:c r="H34" s="2" t="n">
        <x:f>IF(G34&gt;0,MAX(0,'Start Here'!$B$5-D34),0)</x:f>
        <x:v>0</x:v>
      </x:c>
      <x:c r="I34" s="2" t="str">
        <x:f>IF(G34=0,"Paid",IF(H34=0,"Current",IF(H34&lt;=30,"1-30",IF(H34&lt;=60,"31-60",IF(H34&lt;=90,"61-90","91+")))))</x:f>
        <x:v>Current</x:v>
      </x:c>
      <x:c r="J34" s="2" t="n">
        <x:f>IF(G34=0,0,IF(H34=0,1,IF(H34&lt;=30,2,IF(H34&lt;=60,3,IF(H34&lt;=90,4,5)))))</x:f>
        <x:v>1</x:v>
      </x:c>
      <x:c r="K34" s="2" t="str">
        <x:f>'Invoices'!F34</x:f>
        <x:v>Yes</x:v>
      </x:c>
      <x:c r="L34" s="10" t="n">
        <x:f>'Start Here'!$B$5</x:f>
        <x:v>46295</x:v>
      </x:c>
    </x:row>
    <x:row r="35" ht="23" customHeight="1">
      <x:c r="A35" s="2" t="str">
        <x:f>'Invoices'!A35</x:f>
        <x:v>INV00031</x:v>
      </x:c>
      <x:c r="B35" s="2" t="str">
        <x:f>'Invoices'!B35</x:f>
        <x:v>C001</x:v>
      </x:c>
      <x:c r="C35" s="10" t="n">
        <x:f>'Invoices'!C35</x:f>
        <x:v>46027</x:v>
      </x:c>
      <x:c r="D35" s="10" t="n">
        <x:f>'Invoices'!D35</x:f>
        <x:v>46057</x:v>
      </x:c>
      <x:c r="E35" s="11" t="n">
        <x:f>'Invoices'!E35</x:f>
        <x:v>5349.48</x:v>
      </x:c>
      <x:c r="F35" s="11" t="n">
        <x:f>SUMIFS('Payments'!$E$5:$E$429,'Payments'!$B$5:$B$429,A35,'Payments'!$D$5:$D$429,"&lt;="&amp;'Start Here'!$B$5)</x:f>
        <x:v>5349.48</x:v>
      </x:c>
      <x:c r="G35" s="11" t="n">
        <x:f>ROUND(E35-F35,2)</x:f>
        <x:v>0</x:v>
      </x:c>
      <x:c r="H35" s="2" t="n">
        <x:f>IF(G35&gt;0,MAX(0,'Start Here'!$B$5-D35),0)</x:f>
        <x:v>0</x:v>
      </x:c>
      <x:c r="I35" s="2" t="str">
        <x:f>IF(G35=0,"Paid",IF(H35=0,"Current",IF(H35&lt;=30,"1-30",IF(H35&lt;=60,"31-60",IF(H35&lt;=90,"61-90","91+")))))</x:f>
        <x:v>Paid</x:v>
      </x:c>
      <x:c r="J35" s="2" t="n">
        <x:f>IF(G35=0,0,IF(H35=0,1,IF(H35&lt;=30,2,IF(H35&lt;=60,3,IF(H35&lt;=90,4,5)))))</x:f>
        <x:v>0</x:v>
      </x:c>
      <x:c r="K35" s="2" t="str">
        <x:f>'Invoices'!F35</x:f>
        <x:v>No</x:v>
      </x:c>
      <x:c r="L35" s="10" t="n">
        <x:f>'Start Here'!$B$5</x:f>
        <x:v>46295</x:v>
      </x:c>
    </x:row>
    <x:row r="36" ht="23" customHeight="1">
      <x:c r="A36" s="2" t="str">
        <x:f>'Invoices'!A36</x:f>
        <x:v>INV00032</x:v>
      </x:c>
      <x:c r="B36" s="2" t="str">
        <x:f>'Invoices'!B36</x:f>
        <x:v>C040</x:v>
      </x:c>
      <x:c r="C36" s="10" t="n">
        <x:f>'Invoices'!C36</x:f>
        <x:v>46215</x:v>
      </x:c>
      <x:c r="D36" s="10" t="n">
        <x:f>'Invoices'!D36</x:f>
        <x:v>46230</x:v>
      </x:c>
      <x:c r="E36" s="11" t="n">
        <x:f>'Invoices'!E36</x:f>
        <x:v>2379.18</x:v>
      </x:c>
      <x:c r="F36" s="11" t="n">
        <x:f>SUMIFS('Payments'!$E$5:$E$429,'Payments'!$B$5:$B$429,A36,'Payments'!$D$5:$D$429,"&lt;="&amp;'Start Here'!$B$5)</x:f>
        <x:v>2379.18</x:v>
      </x:c>
      <x:c r="G36" s="11" t="n">
        <x:f>ROUND(E36-F36,2)</x:f>
        <x:v>0</x:v>
      </x:c>
      <x:c r="H36" s="2" t="n">
        <x:f>IF(G36&gt;0,MAX(0,'Start Here'!$B$5-D36),0)</x:f>
        <x:v>0</x:v>
      </x:c>
      <x:c r="I36" s="2" t="str">
        <x:f>IF(G36=0,"Paid",IF(H36=0,"Current",IF(H36&lt;=30,"1-30",IF(H36&lt;=60,"31-60",IF(H36&lt;=90,"61-90","91+")))))</x:f>
        <x:v>Paid</x:v>
      </x:c>
      <x:c r="J36" s="2" t="n">
        <x:f>IF(G36=0,0,IF(H36=0,1,IF(H36&lt;=30,2,IF(H36&lt;=60,3,IF(H36&lt;=90,4,5)))))</x:f>
        <x:v>0</x:v>
      </x:c>
      <x:c r="K36" s="2" t="str">
        <x:f>'Invoices'!F36</x:f>
        <x:v>No</x:v>
      </x:c>
      <x:c r="L36" s="10" t="n">
        <x:f>'Start Here'!$B$5</x:f>
        <x:v>46295</x:v>
      </x:c>
    </x:row>
    <x:row r="37" ht="23" customHeight="1">
      <x:c r="A37" s="2" t="str">
        <x:f>'Invoices'!A37</x:f>
        <x:v>INV00033</x:v>
      </x:c>
      <x:c r="B37" s="2" t="str">
        <x:f>'Invoices'!B37</x:f>
        <x:v>C016</x:v>
      </x:c>
      <x:c r="C37" s="10" t="n">
        <x:f>'Invoices'!C37</x:f>
        <x:v>46267</x:v>
      </x:c>
      <x:c r="D37" s="10" t="n">
        <x:f>'Invoices'!D37</x:f>
        <x:v>46297</x:v>
      </x:c>
      <x:c r="E37" s="11" t="n">
        <x:f>'Invoices'!E37</x:f>
        <x:v>14195.28</x:v>
      </x:c>
      <x:c r="F37" s="11" t="n">
        <x:f>SUMIFS('Payments'!$E$5:$E$429,'Payments'!$B$5:$B$429,A37,'Payments'!$D$5:$D$429,"&lt;="&amp;'Start Here'!$B$5)</x:f>
        <x:v>0</x:v>
      </x:c>
      <x:c r="G37" s="11" t="n">
        <x:f>ROUND(E37-F37,2)</x:f>
        <x:v>14195.28</x:v>
      </x:c>
      <x:c r="H37" s="2" t="n">
        <x:f>IF(G37&gt;0,MAX(0,'Start Here'!$B$5-D37),0)</x:f>
        <x:v>0</x:v>
      </x:c>
      <x:c r="I37" s="2" t="str">
        <x:f>IF(G37=0,"Paid",IF(H37=0,"Current",IF(H37&lt;=30,"1-30",IF(H37&lt;=60,"31-60",IF(H37&lt;=90,"61-90","91+")))))</x:f>
        <x:v>Current</x:v>
      </x:c>
      <x:c r="J37" s="2" t="n">
        <x:f>IF(G37=0,0,IF(H37=0,1,IF(H37&lt;=30,2,IF(H37&lt;=60,3,IF(H37&lt;=90,4,5)))))</x:f>
        <x:v>1</x:v>
      </x:c>
      <x:c r="K37" s="2" t="str">
        <x:f>'Invoices'!F37</x:f>
        <x:v>No</x:v>
      </x:c>
      <x:c r="L37" s="10" t="n">
        <x:f>'Start Here'!$B$5</x:f>
        <x:v>46295</x:v>
      </x:c>
    </x:row>
    <x:row r="38" ht="23" customHeight="1">
      <x:c r="A38" s="2" t="str">
        <x:f>'Invoices'!A38</x:f>
        <x:v>INV00034</x:v>
      </x:c>
      <x:c r="B38" s="2" t="str">
        <x:f>'Invoices'!B38</x:f>
        <x:v>C026</x:v>
      </x:c>
      <x:c r="C38" s="10" t="n">
        <x:f>'Invoices'!C38</x:f>
        <x:v>46164</x:v>
      </x:c>
      <x:c r="D38" s="10" t="n">
        <x:f>'Invoices'!D38</x:f>
        <x:v>46194</x:v>
      </x:c>
      <x:c r="E38" s="11" t="n">
        <x:f>'Invoices'!E38</x:f>
        <x:v>12405.47</x:v>
      </x:c>
      <x:c r="F38" s="11" t="n">
        <x:f>SUMIFS('Payments'!$E$5:$E$429,'Payments'!$B$5:$B$429,A38,'Payments'!$D$5:$D$429,"&lt;="&amp;'Start Here'!$B$5)</x:f>
        <x:v>12405.47</x:v>
      </x:c>
      <x:c r="G38" s="11" t="n">
        <x:f>ROUND(E38-F38,2)</x:f>
        <x:v>0</x:v>
      </x:c>
      <x:c r="H38" s="2" t="n">
        <x:f>IF(G38&gt;0,MAX(0,'Start Here'!$B$5-D38),0)</x:f>
        <x:v>0</x:v>
      </x:c>
      <x:c r="I38" s="2" t="str">
        <x:f>IF(G38=0,"Paid",IF(H38=0,"Current",IF(H38&lt;=30,"1-30",IF(H38&lt;=60,"31-60",IF(H38&lt;=90,"61-90","91+")))))</x:f>
        <x:v>Paid</x:v>
      </x:c>
      <x:c r="J38" s="2" t="n">
        <x:f>IF(G38=0,0,IF(H38=0,1,IF(H38&lt;=30,2,IF(H38&lt;=60,3,IF(H38&lt;=90,4,5)))))</x:f>
        <x:v>0</x:v>
      </x:c>
      <x:c r="K38" s="2" t="str">
        <x:f>'Invoices'!F38</x:f>
        <x:v>No</x:v>
      </x:c>
      <x:c r="L38" s="10" t="n">
        <x:f>'Start Here'!$B$5</x:f>
        <x:v>46295</x:v>
      </x:c>
    </x:row>
    <x:row r="39" ht="23" customHeight="1">
      <x:c r="A39" s="2" t="str">
        <x:f>'Invoices'!A39</x:f>
        <x:v>INV00035</x:v>
      </x:c>
      <x:c r="B39" s="2" t="str">
        <x:f>'Invoices'!B39</x:f>
        <x:v>C036</x:v>
      </x:c>
      <x:c r="C39" s="10" t="n">
        <x:f>'Invoices'!C39</x:f>
        <x:v>46124</x:v>
      </x:c>
      <x:c r="D39" s="10" t="n">
        <x:f>'Invoices'!D39</x:f>
        <x:v>46184</x:v>
      </x:c>
      <x:c r="E39" s="11" t="n">
        <x:f>'Invoices'!E39</x:f>
        <x:v>15583.97</x:v>
      </x:c>
      <x:c r="F39" s="11" t="n">
        <x:f>SUMIFS('Payments'!$E$5:$E$429,'Payments'!$B$5:$B$429,A39,'Payments'!$D$5:$D$429,"&lt;="&amp;'Start Here'!$B$5)</x:f>
        <x:v>15583.970000000001</x:v>
      </x:c>
      <x:c r="G39" s="11" t="n">
        <x:f>ROUND(E39-F39,2)</x:f>
        <x:v>0</x:v>
      </x:c>
      <x:c r="H39" s="2" t="n">
        <x:f>IF(G39&gt;0,MAX(0,'Start Here'!$B$5-D39),0)</x:f>
        <x:v>0</x:v>
      </x:c>
      <x:c r="I39" s="2" t="str">
        <x:f>IF(G39=0,"Paid",IF(H39=0,"Current",IF(H39&lt;=30,"1-30",IF(H39&lt;=60,"31-60",IF(H39&lt;=90,"61-90","91+")))))</x:f>
        <x:v>Paid</x:v>
      </x:c>
      <x:c r="J39" s="2" t="n">
        <x:f>IF(G39=0,0,IF(H39=0,1,IF(H39&lt;=30,2,IF(H39&lt;=60,3,IF(H39&lt;=90,4,5)))))</x:f>
        <x:v>0</x:v>
      </x:c>
      <x:c r="K39" s="2" t="str">
        <x:f>'Invoices'!F39</x:f>
        <x:v>No</x:v>
      </x:c>
      <x:c r="L39" s="10" t="n">
        <x:f>'Start Here'!$B$5</x:f>
        <x:v>46295</x:v>
      </x:c>
    </x:row>
    <x:row r="40" ht="23" customHeight="1">
      <x:c r="A40" s="2" t="str">
        <x:f>'Invoices'!A40</x:f>
        <x:v>INV00036</x:v>
      </x:c>
      <x:c r="B40" s="2" t="str">
        <x:f>'Invoices'!B40</x:f>
        <x:v>C024</x:v>
      </x:c>
      <x:c r="C40" s="10" t="n">
        <x:f>'Invoices'!C40</x:f>
        <x:v>46153</x:v>
      </x:c>
      <x:c r="D40" s="10" t="n">
        <x:f>'Invoices'!D40</x:f>
        <x:v>46183</x:v>
      </x:c>
      <x:c r="E40" s="11" t="n">
        <x:f>'Invoices'!E40</x:f>
        <x:v>8360.22</x:v>
      </x:c>
      <x:c r="F40" s="11" t="n">
        <x:f>SUMIFS('Payments'!$E$5:$E$429,'Payments'!$B$5:$B$429,A40,'Payments'!$D$5:$D$429,"&lt;="&amp;'Start Here'!$B$5)</x:f>
        <x:v>8360.22</x:v>
      </x:c>
      <x:c r="G40" s="11" t="n">
        <x:f>ROUND(E40-F40,2)</x:f>
        <x:v>0</x:v>
      </x:c>
      <x:c r="H40" s="2" t="n">
        <x:f>IF(G40&gt;0,MAX(0,'Start Here'!$B$5-D40),0)</x:f>
        <x:v>0</x:v>
      </x:c>
      <x:c r="I40" s="2" t="str">
        <x:f>IF(G40=0,"Paid",IF(H40=0,"Current",IF(H40&lt;=30,"1-30",IF(H40&lt;=60,"31-60",IF(H40&lt;=90,"61-90","91+")))))</x:f>
        <x:v>Paid</x:v>
      </x:c>
      <x:c r="J40" s="2" t="n">
        <x:f>IF(G40=0,0,IF(H40=0,1,IF(H40&lt;=30,2,IF(H40&lt;=60,3,IF(H40&lt;=90,4,5)))))</x:f>
        <x:v>0</x:v>
      </x:c>
      <x:c r="K40" s="2" t="str">
        <x:f>'Invoices'!F40</x:f>
        <x:v>No</x:v>
      </x:c>
      <x:c r="L40" s="10" t="n">
        <x:f>'Start Here'!$B$5</x:f>
        <x:v>46295</x:v>
      </x:c>
    </x:row>
    <x:row r="41" ht="23" customHeight="1">
      <x:c r="A41" s="2" t="str">
        <x:f>'Invoices'!A41</x:f>
        <x:v>INV00037</x:v>
      </x:c>
      <x:c r="B41" s="2" t="str">
        <x:f>'Invoices'!B41</x:f>
        <x:v>C020</x:v>
      </x:c>
      <x:c r="C41" s="10" t="n">
        <x:f>'Invoices'!C41</x:f>
        <x:v>46270</x:v>
      </x:c>
      <x:c r="D41" s="10" t="n">
        <x:f>'Invoices'!D41</x:f>
        <x:v>46315</x:v>
      </x:c>
      <x:c r="E41" s="11" t="n">
        <x:f>'Invoices'!E41</x:f>
        <x:v>4929.61</x:v>
      </x:c>
      <x:c r="F41" s="11" t="n">
        <x:f>SUMIFS('Payments'!$E$5:$E$429,'Payments'!$B$5:$B$429,A41,'Payments'!$D$5:$D$429,"&lt;="&amp;'Start Here'!$B$5)</x:f>
        <x:v>0</x:v>
      </x:c>
      <x:c r="G41" s="11" t="n">
        <x:f>ROUND(E41-F41,2)</x:f>
        <x:v>4929.61</x:v>
      </x:c>
      <x:c r="H41" s="2" t="n">
        <x:f>IF(G41&gt;0,MAX(0,'Start Here'!$B$5-D41),0)</x:f>
        <x:v>0</x:v>
      </x:c>
      <x:c r="I41" s="2" t="str">
        <x:f>IF(G41=0,"Paid",IF(H41=0,"Current",IF(H41&lt;=30,"1-30",IF(H41&lt;=60,"31-60",IF(H41&lt;=90,"61-90","91+")))))</x:f>
        <x:v>Current</x:v>
      </x:c>
      <x:c r="J41" s="2" t="n">
        <x:f>IF(G41=0,0,IF(H41=0,1,IF(H41&lt;=30,2,IF(H41&lt;=60,3,IF(H41&lt;=90,4,5)))))</x:f>
        <x:v>1</x:v>
      </x:c>
      <x:c r="K41" s="2" t="str">
        <x:f>'Invoices'!F41</x:f>
        <x:v>No</x:v>
      </x:c>
      <x:c r="L41" s="10" t="n">
        <x:f>'Start Here'!$B$5</x:f>
        <x:v>46295</x:v>
      </x:c>
    </x:row>
    <x:row r="42" ht="23" customHeight="1">
      <x:c r="A42" s="2" t="str">
        <x:f>'Invoices'!A42</x:f>
        <x:v>INV00038</x:v>
      </x:c>
      <x:c r="B42" s="2" t="str">
        <x:f>'Invoices'!B42</x:f>
        <x:v>C037</x:v>
      </x:c>
      <x:c r="C42" s="10" t="n">
        <x:f>'Invoices'!C42</x:f>
        <x:v>46164</x:v>
      </x:c>
      <x:c r="D42" s="10" t="n">
        <x:f>'Invoices'!D42</x:f>
        <x:v>46194</x:v>
      </x:c>
      <x:c r="E42" s="11" t="n">
        <x:f>'Invoices'!E42</x:f>
        <x:v>16731.79</x:v>
      </x:c>
      <x:c r="F42" s="11" t="n">
        <x:f>SUMIFS('Payments'!$E$5:$E$429,'Payments'!$B$5:$B$429,A42,'Payments'!$D$5:$D$429,"&lt;="&amp;'Start Here'!$B$5)</x:f>
        <x:v>16731.79</x:v>
      </x:c>
      <x:c r="G42" s="11" t="n">
        <x:f>ROUND(E42-F42,2)</x:f>
        <x:v>0</x:v>
      </x:c>
      <x:c r="H42" s="2" t="n">
        <x:f>IF(G42&gt;0,MAX(0,'Start Here'!$B$5-D42),0)</x:f>
        <x:v>0</x:v>
      </x:c>
      <x:c r="I42" s="2" t="str">
        <x:f>IF(G42=0,"Paid",IF(H42=0,"Current",IF(H42&lt;=30,"1-30",IF(H42&lt;=60,"31-60",IF(H42&lt;=90,"61-90","91+")))))</x:f>
        <x:v>Paid</x:v>
      </x:c>
      <x:c r="J42" s="2" t="n">
        <x:f>IF(G42=0,0,IF(H42=0,1,IF(H42&lt;=30,2,IF(H42&lt;=60,3,IF(H42&lt;=90,4,5)))))</x:f>
        <x:v>0</x:v>
      </x:c>
      <x:c r="K42" s="2" t="str">
        <x:f>'Invoices'!F42</x:f>
        <x:v>No</x:v>
      </x:c>
      <x:c r="L42" s="10" t="n">
        <x:f>'Start Here'!$B$5</x:f>
        <x:v>46295</x:v>
      </x:c>
    </x:row>
    <x:row r="43" ht="23" customHeight="1">
      <x:c r="A43" s="2" t="str">
        <x:f>'Invoices'!A43</x:f>
        <x:v>INV00039</x:v>
      </x:c>
      <x:c r="B43" s="2" t="str">
        <x:f>'Invoices'!B43</x:f>
        <x:v>C022</x:v>
      </x:c>
      <x:c r="C43" s="10" t="n">
        <x:f>'Invoices'!C43</x:f>
        <x:v>46096</x:v>
      </x:c>
      <x:c r="D43" s="10" t="n">
        <x:f>'Invoices'!D43</x:f>
        <x:v>46126</x:v>
      </x:c>
      <x:c r="E43" s="11" t="n">
        <x:f>'Invoices'!E43</x:f>
        <x:v>17645.4</x:v>
      </x:c>
      <x:c r="F43" s="11" t="n">
        <x:f>SUMIFS('Payments'!$E$5:$E$429,'Payments'!$B$5:$B$429,A43,'Payments'!$D$5:$D$429,"&lt;="&amp;'Start Here'!$B$5)</x:f>
        <x:v>17645.4</x:v>
      </x:c>
      <x:c r="G43" s="11" t="n">
        <x:f>ROUND(E43-F43,2)</x:f>
        <x:v>0</x:v>
      </x:c>
      <x:c r="H43" s="2" t="n">
        <x:f>IF(G43&gt;0,MAX(0,'Start Here'!$B$5-D43),0)</x:f>
        <x:v>0</x:v>
      </x:c>
      <x:c r="I43" s="2" t="str">
        <x:f>IF(G43=0,"Paid",IF(H43=0,"Current",IF(H43&lt;=30,"1-30",IF(H43&lt;=60,"31-60",IF(H43&lt;=90,"61-90","91+")))))</x:f>
        <x:v>Paid</x:v>
      </x:c>
      <x:c r="J43" s="2" t="n">
        <x:f>IF(G43=0,0,IF(H43=0,1,IF(H43&lt;=30,2,IF(H43&lt;=60,3,IF(H43&lt;=90,4,5)))))</x:f>
        <x:v>0</x:v>
      </x:c>
      <x:c r="K43" s="2" t="str">
        <x:f>'Invoices'!F43</x:f>
        <x:v>No</x:v>
      </x:c>
      <x:c r="L43" s="10" t="n">
        <x:f>'Start Here'!$B$5</x:f>
        <x:v>46295</x:v>
      </x:c>
    </x:row>
    <x:row r="44" ht="23" customHeight="1">
      <x:c r="A44" s="2" t="str">
        <x:f>'Invoices'!A44</x:f>
        <x:v>INV00040</x:v>
      </x:c>
      <x:c r="B44" s="2" t="str">
        <x:f>'Invoices'!B44</x:f>
        <x:v>C002</x:v>
      </x:c>
      <x:c r="C44" s="10" t="n">
        <x:f>'Invoices'!C44</x:f>
        <x:v>46244</x:v>
      </x:c>
      <x:c r="D44" s="10" t="n">
        <x:f>'Invoices'!D44</x:f>
        <x:v>46259</x:v>
      </x:c>
      <x:c r="E44" s="11" t="n">
        <x:f>'Invoices'!E44</x:f>
        <x:v>11141.11</x:v>
      </x:c>
      <x:c r="F44" s="11" t="n">
        <x:f>SUMIFS('Payments'!$E$5:$E$429,'Payments'!$B$5:$B$429,A44,'Payments'!$D$5:$D$429,"&lt;="&amp;'Start Here'!$B$5)</x:f>
        <x:v>3342.33</x:v>
      </x:c>
      <x:c r="G44" s="11" t="n">
        <x:f>ROUND(E44-F44,2)</x:f>
        <x:v>7798.78</x:v>
      </x:c>
      <x:c r="H44" s="2" t="n">
        <x:f>IF(G44&gt;0,MAX(0,'Start Here'!$B$5-D44),0)</x:f>
        <x:v>36</x:v>
      </x:c>
      <x:c r="I44" s="2" t="str">
        <x:f>IF(G44=0,"Paid",IF(H44=0,"Current",IF(H44&lt;=30,"1-30",IF(H44&lt;=60,"31-60",IF(H44&lt;=90,"61-90","91+")))))</x:f>
        <x:v>31-60</x:v>
      </x:c>
      <x:c r="J44" s="2" t="n">
        <x:f>IF(G44=0,0,IF(H44=0,1,IF(H44&lt;=30,2,IF(H44&lt;=60,3,IF(H44&lt;=90,4,5)))))</x:f>
        <x:v>3</x:v>
      </x:c>
      <x:c r="K44" s="2" t="str">
        <x:f>'Invoices'!F44</x:f>
        <x:v>No</x:v>
      </x:c>
      <x:c r="L44" s="10" t="n">
        <x:f>'Start Here'!$B$5</x:f>
        <x:v>46295</x:v>
      </x:c>
    </x:row>
    <x:row r="45" ht="23" customHeight="1">
      <x:c r="A45" s="2" t="str">
        <x:f>'Invoices'!A45</x:f>
        <x:v>INV00041</x:v>
      </x:c>
      <x:c r="B45" s="2" t="str">
        <x:f>'Invoices'!B45</x:f>
        <x:v>C036</x:v>
      </x:c>
      <x:c r="C45" s="10" t="n">
        <x:f>'Invoices'!C45</x:f>
        <x:v>46084</x:v>
      </x:c>
      <x:c r="D45" s="10" t="n">
        <x:f>'Invoices'!D45</x:f>
        <x:v>46114</x:v>
      </x:c>
      <x:c r="E45" s="11" t="n">
        <x:f>'Invoices'!E45</x:f>
        <x:v>7433.95</x:v>
      </x:c>
      <x:c r="F45" s="11" t="n">
        <x:f>SUMIFS('Payments'!$E$5:$E$429,'Payments'!$B$5:$B$429,A45,'Payments'!$D$5:$D$429,"&lt;="&amp;'Start Here'!$B$5)</x:f>
        <x:v>7433.95</x:v>
      </x:c>
      <x:c r="G45" s="11" t="n">
        <x:f>ROUND(E45-F45,2)</x:f>
        <x:v>0</x:v>
      </x:c>
      <x:c r="H45" s="2" t="n">
        <x:f>IF(G45&gt;0,MAX(0,'Start Here'!$B$5-D45),0)</x:f>
        <x:v>0</x:v>
      </x:c>
      <x:c r="I45" s="2" t="str">
        <x:f>IF(G45=0,"Paid",IF(H45=0,"Current",IF(H45&lt;=30,"1-30",IF(H45&lt;=60,"31-60",IF(H45&lt;=90,"61-90","91+")))))</x:f>
        <x:v>Paid</x:v>
      </x:c>
      <x:c r="J45" s="2" t="n">
        <x:f>IF(G45=0,0,IF(H45=0,1,IF(H45&lt;=30,2,IF(H45&lt;=60,3,IF(H45&lt;=90,4,5)))))</x:f>
        <x:v>0</x:v>
      </x:c>
      <x:c r="K45" s="2" t="str">
        <x:f>'Invoices'!F45</x:f>
        <x:v>No</x:v>
      </x:c>
      <x:c r="L45" s="10" t="n">
        <x:f>'Start Here'!$B$5</x:f>
        <x:v>46295</x:v>
      </x:c>
    </x:row>
    <x:row r="46" ht="23" customHeight="1">
      <x:c r="A46" s="2" t="str">
        <x:f>'Invoices'!A46</x:f>
        <x:v>INV00042</x:v>
      </x:c>
      <x:c r="B46" s="2" t="str">
        <x:f>'Invoices'!B46</x:f>
        <x:v>C024</x:v>
      </x:c>
      <x:c r="C46" s="10" t="n">
        <x:f>'Invoices'!C46</x:f>
        <x:v>46245</x:v>
      </x:c>
      <x:c r="D46" s="10" t="n">
        <x:f>'Invoices'!D46</x:f>
        <x:v>46275</x:v>
      </x:c>
      <x:c r="E46" s="11" t="n">
        <x:f>'Invoices'!E46</x:f>
        <x:v>9642.1</x:v>
      </x:c>
      <x:c r="F46" s="11" t="n">
        <x:f>SUMIFS('Payments'!$E$5:$E$429,'Payments'!$B$5:$B$429,A46,'Payments'!$D$5:$D$429,"&lt;="&amp;'Start Here'!$B$5)</x:f>
        <x:v>9642.1</x:v>
      </x:c>
      <x:c r="G46" s="11" t="n">
        <x:f>ROUND(E46-F46,2)</x:f>
        <x:v>0</x:v>
      </x:c>
      <x:c r="H46" s="2" t="n">
        <x:f>IF(G46&gt;0,MAX(0,'Start Here'!$B$5-D46),0)</x:f>
        <x:v>0</x:v>
      </x:c>
      <x:c r="I46" s="2" t="str">
        <x:f>IF(G46=0,"Paid",IF(H46=0,"Current",IF(H46&lt;=30,"1-30",IF(H46&lt;=60,"31-60",IF(H46&lt;=90,"61-90","91+")))))</x:f>
        <x:v>Paid</x:v>
      </x:c>
      <x:c r="J46" s="2" t="n">
        <x:f>IF(G46=0,0,IF(H46=0,1,IF(H46&lt;=30,2,IF(H46&lt;=60,3,IF(H46&lt;=90,4,5)))))</x:f>
        <x:v>0</x:v>
      </x:c>
      <x:c r="K46" s="2" t="str">
        <x:f>'Invoices'!F46</x:f>
        <x:v>No</x:v>
      </x:c>
      <x:c r="L46" s="10" t="n">
        <x:f>'Start Here'!$B$5</x:f>
        <x:v>46295</x:v>
      </x:c>
    </x:row>
    <x:row r="47" ht="23" customHeight="1">
      <x:c r="A47" s="2" t="str">
        <x:f>'Invoices'!A47</x:f>
        <x:v>INV00043</x:v>
      </x:c>
      <x:c r="B47" s="2" t="str">
        <x:f>'Invoices'!B47</x:f>
        <x:v>C025</x:v>
      </x:c>
      <x:c r="C47" s="10" t="n">
        <x:f>'Invoices'!C47</x:f>
        <x:v>46286</x:v>
      </x:c>
      <x:c r="D47" s="10" t="n">
        <x:f>'Invoices'!D47</x:f>
        <x:v>46316</x:v>
      </x:c>
      <x:c r="E47" s="11" t="n">
        <x:f>'Invoices'!E47</x:f>
        <x:v>2687.74</x:v>
      </x:c>
      <x:c r="F47" s="11" t="n">
        <x:f>SUMIFS('Payments'!$E$5:$E$429,'Payments'!$B$5:$B$429,A47,'Payments'!$D$5:$D$429,"&lt;="&amp;'Start Here'!$B$5)</x:f>
        <x:v>0</x:v>
      </x:c>
      <x:c r="G47" s="11" t="n">
        <x:f>ROUND(E47-F47,2)</x:f>
        <x:v>2687.74</x:v>
      </x:c>
      <x:c r="H47" s="2" t="n">
        <x:f>IF(G47&gt;0,MAX(0,'Start Here'!$B$5-D47),0)</x:f>
        <x:v>0</x:v>
      </x:c>
      <x:c r="I47" s="2" t="str">
        <x:f>IF(G47=0,"Paid",IF(H47=0,"Current",IF(H47&lt;=30,"1-30",IF(H47&lt;=60,"31-60",IF(H47&lt;=90,"61-90","91+")))))</x:f>
        <x:v>Current</x:v>
      </x:c>
      <x:c r="J47" s="2" t="n">
        <x:f>IF(G47=0,0,IF(H47=0,1,IF(H47&lt;=30,2,IF(H47&lt;=60,3,IF(H47&lt;=90,4,5)))))</x:f>
        <x:v>1</x:v>
      </x:c>
      <x:c r="K47" s="2" t="str">
        <x:f>'Invoices'!F47</x:f>
        <x:v>No</x:v>
      </x:c>
      <x:c r="L47" s="10" t="n">
        <x:f>'Start Here'!$B$5</x:f>
        <x:v>46295</x:v>
      </x:c>
    </x:row>
    <x:row r="48" ht="23" customHeight="1">
      <x:c r="A48" s="2" t="str">
        <x:f>'Invoices'!A48</x:f>
        <x:v>INV00044</x:v>
      </x:c>
      <x:c r="B48" s="2" t="str">
        <x:f>'Invoices'!B48</x:f>
        <x:v>C030</x:v>
      </x:c>
      <x:c r="C48" s="10" t="n">
        <x:f>'Invoices'!C48</x:f>
        <x:v>46113</x:v>
      </x:c>
      <x:c r="D48" s="10" t="n">
        <x:f>'Invoices'!D48</x:f>
        <x:v>46143</x:v>
      </x:c>
      <x:c r="E48" s="11" t="n">
        <x:f>'Invoices'!E48</x:f>
        <x:v>6997.42</x:v>
      </x:c>
      <x:c r="F48" s="11" t="n">
        <x:f>SUMIFS('Payments'!$E$5:$E$429,'Payments'!$B$5:$B$429,A48,'Payments'!$D$5:$D$429,"&lt;="&amp;'Start Here'!$B$5)</x:f>
        <x:v>0</x:v>
      </x:c>
      <x:c r="G48" s="11" t="n">
        <x:f>ROUND(E48-F48,2)</x:f>
        <x:v>6997.42</x:v>
      </x:c>
      <x:c r="H48" s="2" t="n">
        <x:f>IF(G48&gt;0,MAX(0,'Start Here'!$B$5-D48),0)</x:f>
        <x:v>152</x:v>
      </x:c>
      <x:c r="I48" s="2" t="str">
        <x:f>IF(G48=0,"Paid",IF(H48=0,"Current",IF(H48&lt;=30,"1-30",IF(H48&lt;=60,"31-60",IF(H48&lt;=90,"61-90","91+")))))</x:f>
        <x:v>91+</x:v>
      </x:c>
      <x:c r="J48" s="2" t="n">
        <x:f>IF(G48=0,0,IF(H48=0,1,IF(H48&lt;=30,2,IF(H48&lt;=60,3,IF(H48&lt;=90,4,5)))))</x:f>
        <x:v>5</x:v>
      </x:c>
      <x:c r="K48" s="2" t="str">
        <x:f>'Invoices'!F48</x:f>
        <x:v>No</x:v>
      </x:c>
      <x:c r="L48" s="10" t="n">
        <x:f>'Start Here'!$B$5</x:f>
        <x:v>46295</x:v>
      </x:c>
    </x:row>
    <x:row r="49" ht="23" customHeight="1">
      <x:c r="A49" s="2" t="str">
        <x:f>'Invoices'!A49</x:f>
        <x:v>INV00045</x:v>
      </x:c>
      <x:c r="B49" s="2" t="str">
        <x:f>'Invoices'!B49</x:f>
        <x:v>C016</x:v>
      </x:c>
      <x:c r="C49" s="10" t="n">
        <x:f>'Invoices'!C49</x:f>
        <x:v>46076</x:v>
      </x:c>
      <x:c r="D49" s="10" t="n">
        <x:f>'Invoices'!D49</x:f>
        <x:v>46106</x:v>
      </x:c>
      <x:c r="E49" s="11" t="n">
        <x:f>'Invoices'!E49</x:f>
        <x:v>12339.29</x:v>
      </x:c>
      <x:c r="F49" s="11" t="n">
        <x:f>SUMIFS('Payments'!$E$5:$E$429,'Payments'!$B$5:$B$429,A49,'Payments'!$D$5:$D$429,"&lt;="&amp;'Start Here'!$B$5)</x:f>
        <x:v>12339.29</x:v>
      </x:c>
      <x:c r="G49" s="11" t="n">
        <x:f>ROUND(E49-F49,2)</x:f>
        <x:v>0</x:v>
      </x:c>
      <x:c r="H49" s="2" t="n">
        <x:f>IF(G49&gt;0,MAX(0,'Start Here'!$B$5-D49),0)</x:f>
        <x:v>0</x:v>
      </x:c>
      <x:c r="I49" s="2" t="str">
        <x:f>IF(G49=0,"Paid",IF(H49=0,"Current",IF(H49&lt;=30,"1-30",IF(H49&lt;=60,"31-60",IF(H49&lt;=90,"61-90","91+")))))</x:f>
        <x:v>Paid</x:v>
      </x:c>
      <x:c r="J49" s="2" t="n">
        <x:f>IF(G49=0,0,IF(H49=0,1,IF(H49&lt;=30,2,IF(H49&lt;=60,3,IF(H49&lt;=90,4,5)))))</x:f>
        <x:v>0</x:v>
      </x:c>
      <x:c r="K49" s="2" t="str">
        <x:f>'Invoices'!F49</x:f>
        <x:v>No</x:v>
      </x:c>
      <x:c r="L49" s="10" t="n">
        <x:f>'Start Here'!$B$5</x:f>
        <x:v>46295</x:v>
      </x:c>
    </x:row>
    <x:row r="50" ht="23" customHeight="1">
      <x:c r="A50" s="2" t="str">
        <x:f>'Invoices'!A50</x:f>
        <x:v>INV00046</x:v>
      </x:c>
      <x:c r="B50" s="2" t="str">
        <x:f>'Invoices'!B50</x:f>
        <x:v>C005</x:v>
      </x:c>
      <x:c r="C50" s="10" t="n">
        <x:f>'Invoices'!C50</x:f>
        <x:v>46247</x:v>
      </x:c>
      <x:c r="D50" s="10" t="n">
        <x:f>'Invoices'!D50</x:f>
        <x:v>46292</x:v>
      </x:c>
      <x:c r="E50" s="11" t="n">
        <x:f>'Invoices'!E50</x:f>
        <x:v>19801.11</x:v>
      </x:c>
      <x:c r="F50" s="11" t="n">
        <x:f>SUMIFS('Payments'!$E$5:$E$429,'Payments'!$B$5:$B$429,A50,'Payments'!$D$5:$D$429,"&lt;="&amp;'Start Here'!$B$5)</x:f>
        <x:v>0</x:v>
      </x:c>
      <x:c r="G50" s="11" t="n">
        <x:f>ROUND(E50-F50,2)</x:f>
        <x:v>19801.11</x:v>
      </x:c>
      <x:c r="H50" s="2" t="n">
        <x:f>IF(G50&gt;0,MAX(0,'Start Here'!$B$5-D50),0)</x:f>
        <x:v>3</x:v>
      </x:c>
      <x:c r="I50" s="2" t="str">
        <x:f>IF(G50=0,"Paid",IF(H50=0,"Current",IF(H50&lt;=30,"1-30",IF(H50&lt;=60,"31-60",IF(H50&lt;=90,"61-90","91+")))))</x:f>
        <x:v>1-30</x:v>
      </x:c>
      <x:c r="J50" s="2" t="n">
        <x:f>IF(G50=0,0,IF(H50=0,1,IF(H50&lt;=30,2,IF(H50&lt;=60,3,IF(H50&lt;=90,4,5)))))</x:f>
        <x:v>2</x:v>
      </x:c>
      <x:c r="K50" s="2" t="str">
        <x:f>'Invoices'!F50</x:f>
        <x:v>No</x:v>
      </x:c>
      <x:c r="L50" s="10" t="n">
        <x:f>'Start Here'!$B$5</x:f>
        <x:v>46295</x:v>
      </x:c>
    </x:row>
    <x:row r="51" ht="23" customHeight="1">
      <x:c r="A51" s="2" t="str">
        <x:f>'Invoices'!A51</x:f>
        <x:v>INV00047</x:v>
      </x:c>
      <x:c r="B51" s="2" t="str">
        <x:f>'Invoices'!B51</x:f>
        <x:v>C022</x:v>
      </x:c>
      <x:c r="C51" s="10" t="n">
        <x:f>'Invoices'!C51</x:f>
        <x:v>46163</x:v>
      </x:c>
      <x:c r="D51" s="10" t="n">
        <x:f>'Invoices'!D51</x:f>
        <x:v>46193</x:v>
      </x:c>
      <x:c r="E51" s="11" t="n">
        <x:f>'Invoices'!E51</x:f>
        <x:v>12314.56</x:v>
      </x:c>
      <x:c r="F51" s="11" t="n">
        <x:f>SUMIFS('Payments'!$E$5:$E$429,'Payments'!$B$5:$B$429,A51,'Payments'!$D$5:$D$429,"&lt;="&amp;'Start Here'!$B$5)</x:f>
        <x:v>12314.560000000001</x:v>
      </x:c>
      <x:c r="G51" s="11" t="n">
        <x:f>ROUND(E51-F51,2)</x:f>
        <x:v>0</x:v>
      </x:c>
      <x:c r="H51" s="2" t="n">
        <x:f>IF(G51&gt;0,MAX(0,'Start Here'!$B$5-D51),0)</x:f>
        <x:v>0</x:v>
      </x:c>
      <x:c r="I51" s="2" t="str">
        <x:f>IF(G51=0,"Paid",IF(H51=0,"Current",IF(H51&lt;=30,"1-30",IF(H51&lt;=60,"31-60",IF(H51&lt;=90,"61-90","91+")))))</x:f>
        <x:v>Paid</x:v>
      </x:c>
      <x:c r="J51" s="2" t="n">
        <x:f>IF(G51=0,0,IF(H51=0,1,IF(H51&lt;=30,2,IF(H51&lt;=60,3,IF(H51&lt;=90,4,5)))))</x:f>
        <x:v>0</x:v>
      </x:c>
      <x:c r="K51" s="2" t="str">
        <x:f>'Invoices'!F51</x:f>
        <x:v>No</x:v>
      </x:c>
      <x:c r="L51" s="10" t="n">
        <x:f>'Start Here'!$B$5</x:f>
        <x:v>46295</x:v>
      </x:c>
    </x:row>
    <x:row r="52" ht="23" customHeight="1">
      <x:c r="A52" s="2" t="str">
        <x:f>'Invoices'!A52</x:f>
        <x:v>INV00048</x:v>
      </x:c>
      <x:c r="B52" s="2" t="str">
        <x:f>'Invoices'!B52</x:f>
        <x:v>C036</x:v>
      </x:c>
      <x:c r="C52" s="10" t="n">
        <x:f>'Invoices'!C52</x:f>
        <x:v>46209</x:v>
      </x:c>
      <x:c r="D52" s="10" t="n">
        <x:f>'Invoices'!D52</x:f>
        <x:v>46269</x:v>
      </x:c>
      <x:c r="E52" s="11" t="n">
        <x:f>'Invoices'!E52</x:f>
        <x:v>12215.76</x:v>
      </x:c>
      <x:c r="F52" s="11" t="n">
        <x:f>SUMIFS('Payments'!$E$5:$E$429,'Payments'!$B$5:$B$429,A52,'Payments'!$D$5:$D$429,"&lt;="&amp;'Start Here'!$B$5)</x:f>
        <x:v>12215.76</x:v>
      </x:c>
      <x:c r="G52" s="11" t="n">
        <x:f>ROUND(E52-F52,2)</x:f>
        <x:v>0</x:v>
      </x:c>
      <x:c r="H52" s="2" t="n">
        <x:f>IF(G52&gt;0,MAX(0,'Start Here'!$B$5-D52),0)</x:f>
        <x:v>0</x:v>
      </x:c>
      <x:c r="I52" s="2" t="str">
        <x:f>IF(G52=0,"Paid",IF(H52=0,"Current",IF(H52&lt;=30,"1-30",IF(H52&lt;=60,"31-60",IF(H52&lt;=90,"61-90","91+")))))</x:f>
        <x:v>Paid</x:v>
      </x:c>
      <x:c r="J52" s="2" t="n">
        <x:f>IF(G52=0,0,IF(H52=0,1,IF(H52&lt;=30,2,IF(H52&lt;=60,3,IF(H52&lt;=90,4,5)))))</x:f>
        <x:v>0</x:v>
      </x:c>
      <x:c r="K52" s="2" t="str">
        <x:f>'Invoices'!F52</x:f>
        <x:v>No</x:v>
      </x:c>
      <x:c r="L52" s="10" t="n">
        <x:f>'Start Here'!$B$5</x:f>
        <x:v>46295</x:v>
      </x:c>
    </x:row>
    <x:row r="53" ht="23" customHeight="1">
      <x:c r="A53" s="2" t="str">
        <x:f>'Invoices'!A53</x:f>
        <x:v>INV00049</x:v>
      </x:c>
      <x:c r="B53" s="2" t="str">
        <x:f>'Invoices'!B53</x:f>
        <x:v>C008</x:v>
      </x:c>
      <x:c r="C53" s="10" t="n">
        <x:f>'Invoices'!C53</x:f>
        <x:v>46183</x:v>
      </x:c>
      <x:c r="D53" s="10" t="n">
        <x:f>'Invoices'!D53</x:f>
        <x:v>46213</x:v>
      </x:c>
      <x:c r="E53" s="11" t="n">
        <x:f>'Invoices'!E53</x:f>
        <x:v>6316.63</x:v>
      </x:c>
      <x:c r="F53" s="11" t="n">
        <x:f>SUMIFS('Payments'!$E$5:$E$429,'Payments'!$B$5:$B$429,A53,'Payments'!$D$5:$D$429,"&lt;="&amp;'Start Here'!$B$5)</x:f>
        <x:v>6316.63</x:v>
      </x:c>
      <x:c r="G53" s="11" t="n">
        <x:f>ROUND(E53-F53,2)</x:f>
        <x:v>0</x:v>
      </x:c>
      <x:c r="H53" s="2" t="n">
        <x:f>IF(G53&gt;0,MAX(0,'Start Here'!$B$5-D53),0)</x:f>
        <x:v>0</x:v>
      </x:c>
      <x:c r="I53" s="2" t="str">
        <x:f>IF(G53=0,"Paid",IF(H53=0,"Current",IF(H53&lt;=30,"1-30",IF(H53&lt;=60,"31-60",IF(H53&lt;=90,"61-90","91+")))))</x:f>
        <x:v>Paid</x:v>
      </x:c>
      <x:c r="J53" s="2" t="n">
        <x:f>IF(G53=0,0,IF(H53=0,1,IF(H53&lt;=30,2,IF(H53&lt;=60,3,IF(H53&lt;=90,4,5)))))</x:f>
        <x:v>0</x:v>
      </x:c>
      <x:c r="K53" s="2" t="str">
        <x:f>'Invoices'!F53</x:f>
        <x:v>No</x:v>
      </x:c>
      <x:c r="L53" s="10" t="n">
        <x:f>'Start Here'!$B$5</x:f>
        <x:v>46295</x:v>
      </x:c>
    </x:row>
    <x:row r="54" ht="23" customHeight="1">
      <x:c r="A54" s="2" t="str">
        <x:f>'Invoices'!A54</x:f>
        <x:v>INV00050</x:v>
      </x:c>
      <x:c r="B54" s="2" t="str">
        <x:f>'Invoices'!B54</x:f>
        <x:v>C025</x:v>
      </x:c>
      <x:c r="C54" s="10" t="n">
        <x:f>'Invoices'!C54</x:f>
        <x:v>46110</x:v>
      </x:c>
      <x:c r="D54" s="10" t="n">
        <x:f>'Invoices'!D54</x:f>
        <x:v>46155</x:v>
      </x:c>
      <x:c r="E54" s="11" t="n">
        <x:f>'Invoices'!E54</x:f>
        <x:v>19154.75</x:v>
      </x:c>
      <x:c r="F54" s="11" t="n">
        <x:f>SUMIFS('Payments'!$E$5:$E$429,'Payments'!$B$5:$B$429,A54,'Payments'!$D$5:$D$429,"&lt;="&amp;'Start Here'!$B$5)</x:f>
        <x:v>19154.75</x:v>
      </x:c>
      <x:c r="G54" s="11" t="n">
        <x:f>ROUND(E54-F54,2)</x:f>
        <x:v>0</x:v>
      </x:c>
      <x:c r="H54" s="2" t="n">
        <x:f>IF(G54&gt;0,MAX(0,'Start Here'!$B$5-D54),0)</x:f>
        <x:v>0</x:v>
      </x:c>
      <x:c r="I54" s="2" t="str">
        <x:f>IF(G54=0,"Paid",IF(H54=0,"Current",IF(H54&lt;=30,"1-30",IF(H54&lt;=60,"31-60",IF(H54&lt;=90,"61-90","91+")))))</x:f>
        <x:v>Paid</x:v>
      </x:c>
      <x:c r="J54" s="2" t="n">
        <x:f>IF(G54=0,0,IF(H54=0,1,IF(H54&lt;=30,2,IF(H54&lt;=60,3,IF(H54&lt;=90,4,5)))))</x:f>
        <x:v>0</x:v>
      </x:c>
      <x:c r="K54" s="2" t="str">
        <x:f>'Invoices'!F54</x:f>
        <x:v>No</x:v>
      </x:c>
      <x:c r="L54" s="10" t="n">
        <x:f>'Start Here'!$B$5</x:f>
        <x:v>46295</x:v>
      </x:c>
    </x:row>
    <x:row r="55" ht="23" customHeight="1">
      <x:c r="A55" s="2" t="str">
        <x:f>'Invoices'!A55</x:f>
        <x:v>INV00051</x:v>
      </x:c>
      <x:c r="B55" s="2" t="str">
        <x:f>'Invoices'!B55</x:f>
        <x:v>C013</x:v>
      </x:c>
      <x:c r="C55" s="10" t="n">
        <x:f>'Invoices'!C55</x:f>
        <x:v>46199</x:v>
      </x:c>
      <x:c r="D55" s="10" t="n">
        <x:f>'Invoices'!D55</x:f>
        <x:v>46229</x:v>
      </x:c>
      <x:c r="E55" s="11" t="n">
        <x:f>'Invoices'!E55</x:f>
        <x:v>3842.87</x:v>
      </x:c>
      <x:c r="F55" s="11" t="n">
        <x:f>SUMIFS('Payments'!$E$5:$E$429,'Payments'!$B$5:$B$429,A55,'Payments'!$D$5:$D$429,"&lt;="&amp;'Start Here'!$B$5)</x:f>
        <x:v>3842.87</x:v>
      </x:c>
      <x:c r="G55" s="11" t="n">
        <x:f>ROUND(E55-F55,2)</x:f>
        <x:v>0</x:v>
      </x:c>
      <x:c r="H55" s="2" t="n">
        <x:f>IF(G55&gt;0,MAX(0,'Start Here'!$B$5-D55),0)</x:f>
        <x:v>0</x:v>
      </x:c>
      <x:c r="I55" s="2" t="str">
        <x:f>IF(G55=0,"Paid",IF(H55=0,"Current",IF(H55&lt;=30,"1-30",IF(H55&lt;=60,"31-60",IF(H55&lt;=90,"61-90","91+")))))</x:f>
        <x:v>Paid</x:v>
      </x:c>
      <x:c r="J55" s="2" t="n">
        <x:f>IF(G55=0,0,IF(H55=0,1,IF(H55&lt;=30,2,IF(H55&lt;=60,3,IF(H55&lt;=90,4,5)))))</x:f>
        <x:v>0</x:v>
      </x:c>
      <x:c r="K55" s="2" t="str">
        <x:f>'Invoices'!F55</x:f>
        <x:v>No</x:v>
      </x:c>
      <x:c r="L55" s="10" t="n">
        <x:f>'Start Here'!$B$5</x:f>
        <x:v>46295</x:v>
      </x:c>
    </x:row>
    <x:row r="56" ht="23" customHeight="1">
      <x:c r="A56" s="2" t="str">
        <x:f>'Invoices'!A56</x:f>
        <x:v>INV00052</x:v>
      </x:c>
      <x:c r="B56" s="2" t="str">
        <x:f>'Invoices'!B56</x:f>
        <x:v>C036</x:v>
      </x:c>
      <x:c r="C56" s="10" t="n">
        <x:f>'Invoices'!C56</x:f>
        <x:v>46147</x:v>
      </x:c>
      <x:c r="D56" s="10" t="n">
        <x:f>'Invoices'!D56</x:f>
        <x:v>46177</x:v>
      </x:c>
      <x:c r="E56" s="11" t="n">
        <x:f>'Invoices'!E56</x:f>
        <x:v>2967.13</x:v>
      </x:c>
      <x:c r="F56" s="11" t="n">
        <x:f>SUMIFS('Payments'!$E$5:$E$429,'Payments'!$B$5:$B$429,A56,'Payments'!$D$5:$D$429,"&lt;="&amp;'Start Here'!$B$5)</x:f>
        <x:v>2967.13</x:v>
      </x:c>
      <x:c r="G56" s="11" t="n">
        <x:f>ROUND(E56-F56,2)</x:f>
        <x:v>0</x:v>
      </x:c>
      <x:c r="H56" s="2" t="n">
        <x:f>IF(G56&gt;0,MAX(0,'Start Here'!$B$5-D56),0)</x:f>
        <x:v>0</x:v>
      </x:c>
      <x:c r="I56" s="2" t="str">
        <x:f>IF(G56=0,"Paid",IF(H56=0,"Current",IF(H56&lt;=30,"1-30",IF(H56&lt;=60,"31-60",IF(H56&lt;=90,"61-90","91+")))))</x:f>
        <x:v>Paid</x:v>
      </x:c>
      <x:c r="J56" s="2" t="n">
        <x:f>IF(G56=0,0,IF(H56=0,1,IF(H56&lt;=30,2,IF(H56&lt;=60,3,IF(H56&lt;=90,4,5)))))</x:f>
        <x:v>0</x:v>
      </x:c>
      <x:c r="K56" s="2" t="str">
        <x:f>'Invoices'!F56</x:f>
        <x:v>No</x:v>
      </x:c>
      <x:c r="L56" s="10" t="n">
        <x:f>'Start Here'!$B$5</x:f>
        <x:v>46295</x:v>
      </x:c>
    </x:row>
    <x:row r="57" ht="23" customHeight="1">
      <x:c r="A57" s="2" t="str">
        <x:f>'Invoices'!A57</x:f>
        <x:v>INV00053</x:v>
      </x:c>
      <x:c r="B57" s="2" t="str">
        <x:f>'Invoices'!B57</x:f>
        <x:v>C032</x:v>
      </x:c>
      <x:c r="C57" s="10" t="n">
        <x:f>'Invoices'!C57</x:f>
        <x:v>46222</x:v>
      </x:c>
      <x:c r="D57" s="10" t="n">
        <x:f>'Invoices'!D57</x:f>
        <x:v>46267</x:v>
      </x:c>
      <x:c r="E57" s="11" t="n">
        <x:f>'Invoices'!E57</x:f>
        <x:v>19711.94</x:v>
      </x:c>
      <x:c r="F57" s="11" t="n">
        <x:f>SUMIFS('Payments'!$E$5:$E$429,'Payments'!$B$5:$B$429,A57,'Payments'!$D$5:$D$429,"&lt;="&amp;'Start Here'!$B$5)</x:f>
        <x:v>19711.94</x:v>
      </x:c>
      <x:c r="G57" s="11" t="n">
        <x:f>ROUND(E57-F57,2)</x:f>
        <x:v>0</x:v>
      </x:c>
      <x:c r="H57" s="2" t="n">
        <x:f>IF(G57&gt;0,MAX(0,'Start Here'!$B$5-D57),0)</x:f>
        <x:v>0</x:v>
      </x:c>
      <x:c r="I57" s="2" t="str">
        <x:f>IF(G57=0,"Paid",IF(H57=0,"Current",IF(H57&lt;=30,"1-30",IF(H57&lt;=60,"31-60",IF(H57&lt;=90,"61-90","91+")))))</x:f>
        <x:v>Paid</x:v>
      </x:c>
      <x:c r="J57" s="2" t="n">
        <x:f>IF(G57=0,0,IF(H57=0,1,IF(H57&lt;=30,2,IF(H57&lt;=60,3,IF(H57&lt;=90,4,5)))))</x:f>
        <x:v>0</x:v>
      </x:c>
      <x:c r="K57" s="2" t="str">
        <x:f>'Invoices'!F57</x:f>
        <x:v>No</x:v>
      </x:c>
      <x:c r="L57" s="10" t="n">
        <x:f>'Start Here'!$B$5</x:f>
        <x:v>46295</x:v>
      </x:c>
    </x:row>
    <x:row r="58" ht="23" customHeight="1">
      <x:c r="A58" s="2" t="str">
        <x:f>'Invoices'!A58</x:f>
        <x:v>INV00054</x:v>
      </x:c>
      <x:c r="B58" s="2" t="str">
        <x:f>'Invoices'!B58</x:f>
        <x:v>C036</x:v>
      </x:c>
      <x:c r="C58" s="10" t="n">
        <x:f>'Invoices'!C58</x:f>
        <x:v>46294</x:v>
      </x:c>
      <x:c r="D58" s="10" t="n">
        <x:f>'Invoices'!D58</x:f>
        <x:v>46339</x:v>
      </x:c>
      <x:c r="E58" s="11" t="n">
        <x:f>'Invoices'!E58</x:f>
        <x:v>5101.42</x:v>
      </x:c>
      <x:c r="F58" s="11" t="n">
        <x:f>SUMIFS('Payments'!$E$5:$E$429,'Payments'!$B$5:$B$429,A58,'Payments'!$D$5:$D$429,"&lt;="&amp;'Start Here'!$B$5)</x:f>
        <x:v>0</x:v>
      </x:c>
      <x:c r="G58" s="11" t="n">
        <x:f>ROUND(E58-F58,2)</x:f>
        <x:v>5101.42</x:v>
      </x:c>
      <x:c r="H58" s="2" t="n">
        <x:f>IF(G58&gt;0,MAX(0,'Start Here'!$B$5-D58),0)</x:f>
        <x:v>0</x:v>
      </x:c>
      <x:c r="I58" s="2" t="str">
        <x:f>IF(G58=0,"Paid",IF(H58=0,"Current",IF(H58&lt;=30,"1-30",IF(H58&lt;=60,"31-60",IF(H58&lt;=90,"61-90","91+")))))</x:f>
        <x:v>Current</x:v>
      </x:c>
      <x:c r="J58" s="2" t="n">
        <x:f>IF(G58=0,0,IF(H58=0,1,IF(H58&lt;=30,2,IF(H58&lt;=60,3,IF(H58&lt;=90,4,5)))))</x:f>
        <x:v>1</x:v>
      </x:c>
      <x:c r="K58" s="2" t="str">
        <x:f>'Invoices'!F58</x:f>
        <x:v>No</x:v>
      </x:c>
      <x:c r="L58" s="10" t="n">
        <x:f>'Start Here'!$B$5</x:f>
        <x:v>46295</x:v>
      </x:c>
    </x:row>
    <x:row r="59" ht="23" customHeight="1">
      <x:c r="A59" s="2" t="str">
        <x:f>'Invoices'!A59</x:f>
        <x:v>INV00055</x:v>
      </x:c>
      <x:c r="B59" s="2" t="str">
        <x:f>'Invoices'!B59</x:f>
        <x:v>C010</x:v>
      </x:c>
      <x:c r="C59" s="10" t="n">
        <x:f>'Invoices'!C59</x:f>
        <x:v>46111</x:v>
      </x:c>
      <x:c r="D59" s="10" t="n">
        <x:f>'Invoices'!D59</x:f>
        <x:v>46156</x:v>
      </x:c>
      <x:c r="E59" s="11" t="n">
        <x:f>'Invoices'!E59</x:f>
        <x:v>7169.9</x:v>
      </x:c>
      <x:c r="F59" s="11" t="n">
        <x:f>SUMIFS('Payments'!$E$5:$E$429,'Payments'!$B$5:$B$429,A59,'Payments'!$D$5:$D$429,"&lt;="&amp;'Start Here'!$B$5)</x:f>
        <x:v>7169.9</x:v>
      </x:c>
      <x:c r="G59" s="11" t="n">
        <x:f>ROUND(E59-F59,2)</x:f>
        <x:v>0</x:v>
      </x:c>
      <x:c r="H59" s="2" t="n">
        <x:f>IF(G59&gt;0,MAX(0,'Start Here'!$B$5-D59),0)</x:f>
        <x:v>0</x:v>
      </x:c>
      <x:c r="I59" s="2" t="str">
        <x:f>IF(G59=0,"Paid",IF(H59=0,"Current",IF(H59&lt;=30,"1-30",IF(H59&lt;=60,"31-60",IF(H59&lt;=90,"61-90","91+")))))</x:f>
        <x:v>Paid</x:v>
      </x:c>
      <x:c r="J59" s="2" t="n">
        <x:f>IF(G59=0,0,IF(H59=0,1,IF(H59&lt;=30,2,IF(H59&lt;=60,3,IF(H59&lt;=90,4,5)))))</x:f>
        <x:v>0</x:v>
      </x:c>
      <x:c r="K59" s="2" t="str">
        <x:f>'Invoices'!F59</x:f>
        <x:v>No</x:v>
      </x:c>
      <x:c r="L59" s="10" t="n">
        <x:f>'Start Here'!$B$5</x:f>
        <x:v>46295</x:v>
      </x:c>
    </x:row>
    <x:row r="60" ht="23" customHeight="1">
      <x:c r="A60" s="2" t="str">
        <x:f>'Invoices'!A60</x:f>
        <x:v>INV00056</x:v>
      </x:c>
      <x:c r="B60" s="2" t="str">
        <x:f>'Invoices'!B60</x:f>
        <x:v>C006</x:v>
      </x:c>
      <x:c r="C60" s="10" t="n">
        <x:f>'Invoices'!C60</x:f>
        <x:v>46074</x:v>
      </x:c>
      <x:c r="D60" s="10" t="n">
        <x:f>'Invoices'!D60</x:f>
        <x:v>46104</x:v>
      </x:c>
      <x:c r="E60" s="11" t="n">
        <x:f>'Invoices'!E60</x:f>
        <x:v>2357.94</x:v>
      </x:c>
      <x:c r="F60" s="11" t="n">
        <x:f>SUMIFS('Payments'!$E$5:$E$429,'Payments'!$B$5:$B$429,A60,'Payments'!$D$5:$D$429,"&lt;="&amp;'Start Here'!$B$5)</x:f>
        <x:v>2357.94</x:v>
      </x:c>
      <x:c r="G60" s="11" t="n">
        <x:f>ROUND(E60-F60,2)</x:f>
        <x:v>0</x:v>
      </x:c>
      <x:c r="H60" s="2" t="n">
        <x:f>IF(G60&gt;0,MAX(0,'Start Here'!$B$5-D60),0)</x:f>
        <x:v>0</x:v>
      </x:c>
      <x:c r="I60" s="2" t="str">
        <x:f>IF(G60=0,"Paid",IF(H60=0,"Current",IF(H60&lt;=30,"1-30",IF(H60&lt;=60,"31-60",IF(H60&lt;=90,"61-90","91+")))))</x:f>
        <x:v>Paid</x:v>
      </x:c>
      <x:c r="J60" s="2" t="n">
        <x:f>IF(G60=0,0,IF(H60=0,1,IF(H60&lt;=30,2,IF(H60&lt;=60,3,IF(H60&lt;=90,4,5)))))</x:f>
        <x:v>0</x:v>
      </x:c>
      <x:c r="K60" s="2" t="str">
        <x:f>'Invoices'!F60</x:f>
        <x:v>No</x:v>
      </x:c>
      <x:c r="L60" s="10" t="n">
        <x:f>'Start Here'!$B$5</x:f>
        <x:v>46295</x:v>
      </x:c>
    </x:row>
    <x:row r="61" ht="23" customHeight="1">
      <x:c r="A61" s="2" t="str">
        <x:f>'Invoices'!A61</x:f>
        <x:v>INV00057</x:v>
      </x:c>
      <x:c r="B61" s="2" t="str">
        <x:f>'Invoices'!B61</x:f>
        <x:v>C025</x:v>
      </x:c>
      <x:c r="C61" s="10" t="n">
        <x:f>'Invoices'!C61</x:f>
        <x:v>46213</x:v>
      </x:c>
      <x:c r="D61" s="10" t="n">
        <x:f>'Invoices'!D61</x:f>
        <x:v>46273</x:v>
      </x:c>
      <x:c r="E61" s="11" t="n">
        <x:f>'Invoices'!E61</x:f>
        <x:v>7105.82</x:v>
      </x:c>
      <x:c r="F61" s="11" t="n">
        <x:f>SUMIFS('Payments'!$E$5:$E$429,'Payments'!$B$5:$B$429,A61,'Payments'!$D$5:$D$429,"&lt;="&amp;'Start Here'!$B$5)</x:f>
        <x:v>7105.82</x:v>
      </x:c>
      <x:c r="G61" s="11" t="n">
        <x:f>ROUND(E61-F61,2)</x:f>
        <x:v>0</x:v>
      </x:c>
      <x:c r="H61" s="2" t="n">
        <x:f>IF(G61&gt;0,MAX(0,'Start Here'!$B$5-D61),0)</x:f>
        <x:v>0</x:v>
      </x:c>
      <x:c r="I61" s="2" t="str">
        <x:f>IF(G61=0,"Paid",IF(H61=0,"Current",IF(H61&lt;=30,"1-30",IF(H61&lt;=60,"31-60",IF(H61&lt;=90,"61-90","91+")))))</x:f>
        <x:v>Paid</x:v>
      </x:c>
      <x:c r="J61" s="2" t="n">
        <x:f>IF(G61=0,0,IF(H61=0,1,IF(H61&lt;=30,2,IF(H61&lt;=60,3,IF(H61&lt;=90,4,5)))))</x:f>
        <x:v>0</x:v>
      </x:c>
      <x:c r="K61" s="2" t="str">
        <x:f>'Invoices'!F61</x:f>
        <x:v>No</x:v>
      </x:c>
      <x:c r="L61" s="10" t="n">
        <x:f>'Start Here'!$B$5</x:f>
        <x:v>46295</x:v>
      </x:c>
    </x:row>
    <x:row r="62" ht="23" customHeight="1">
      <x:c r="A62" s="2" t="str">
        <x:f>'Invoices'!A62</x:f>
        <x:v>INV00058</x:v>
      </x:c>
      <x:c r="B62" s="2" t="str">
        <x:f>'Invoices'!B62</x:f>
        <x:v>C033</x:v>
      </x:c>
      <x:c r="C62" s="10" t="n">
        <x:f>'Invoices'!C62</x:f>
        <x:v>46110</x:v>
      </x:c>
      <x:c r="D62" s="10" t="n">
        <x:f>'Invoices'!D62</x:f>
        <x:v>46125</x:v>
      </x:c>
      <x:c r="E62" s="11" t="n">
        <x:f>'Invoices'!E62</x:f>
        <x:v>8334.74</x:v>
      </x:c>
      <x:c r="F62" s="11" t="n">
        <x:f>SUMIFS('Payments'!$E$5:$E$429,'Payments'!$B$5:$B$429,A62,'Payments'!$D$5:$D$429,"&lt;="&amp;'Start Here'!$B$5)</x:f>
        <x:v>8334.74</x:v>
      </x:c>
      <x:c r="G62" s="11" t="n">
        <x:f>ROUND(E62-F62,2)</x:f>
        <x:v>0</x:v>
      </x:c>
      <x:c r="H62" s="2" t="n">
        <x:f>IF(G62&gt;0,MAX(0,'Start Here'!$B$5-D62),0)</x:f>
        <x:v>0</x:v>
      </x:c>
      <x:c r="I62" s="2" t="str">
        <x:f>IF(G62=0,"Paid",IF(H62=0,"Current",IF(H62&lt;=30,"1-30",IF(H62&lt;=60,"31-60",IF(H62&lt;=90,"61-90","91+")))))</x:f>
        <x:v>Paid</x:v>
      </x:c>
      <x:c r="J62" s="2" t="n">
        <x:f>IF(G62=0,0,IF(H62=0,1,IF(H62&lt;=30,2,IF(H62&lt;=60,3,IF(H62&lt;=90,4,5)))))</x:f>
        <x:v>0</x:v>
      </x:c>
      <x:c r="K62" s="2" t="str">
        <x:f>'Invoices'!F62</x:f>
        <x:v>No</x:v>
      </x:c>
      <x:c r="L62" s="10" t="n">
        <x:f>'Start Here'!$B$5</x:f>
        <x:v>46295</x:v>
      </x:c>
    </x:row>
    <x:row r="63" ht="23" customHeight="1">
      <x:c r="A63" s="2" t="str">
        <x:f>'Invoices'!A63</x:f>
        <x:v>INV00059</x:v>
      </x:c>
      <x:c r="B63" s="2" t="str">
        <x:f>'Invoices'!B63</x:f>
        <x:v>C023</x:v>
      </x:c>
      <x:c r="C63" s="10" t="n">
        <x:f>'Invoices'!C63</x:f>
        <x:v>46146</x:v>
      </x:c>
      <x:c r="D63" s="10" t="n">
        <x:f>'Invoices'!D63</x:f>
        <x:v>46176</x:v>
      </x:c>
      <x:c r="E63" s="11" t="n">
        <x:f>'Invoices'!E63</x:f>
        <x:v>15115.35</x:v>
      </x:c>
      <x:c r="F63" s="11" t="n">
        <x:f>SUMIFS('Payments'!$E$5:$E$429,'Payments'!$B$5:$B$429,A63,'Payments'!$D$5:$D$429,"&lt;="&amp;'Start Here'!$B$5)</x:f>
        <x:v>15115.349999999999</x:v>
      </x:c>
      <x:c r="G63" s="11" t="n">
        <x:f>ROUND(E63-F63,2)</x:f>
        <x:v>0</x:v>
      </x:c>
      <x:c r="H63" s="2" t="n">
        <x:f>IF(G63&gt;0,MAX(0,'Start Here'!$B$5-D63),0)</x:f>
        <x:v>0</x:v>
      </x:c>
      <x:c r="I63" s="2" t="str">
        <x:f>IF(G63=0,"Paid",IF(H63=0,"Current",IF(H63&lt;=30,"1-30",IF(H63&lt;=60,"31-60",IF(H63&lt;=90,"61-90","91+")))))</x:f>
        <x:v>Paid</x:v>
      </x:c>
      <x:c r="J63" s="2" t="n">
        <x:f>IF(G63=0,0,IF(H63=0,1,IF(H63&lt;=30,2,IF(H63&lt;=60,3,IF(H63&lt;=90,4,5)))))</x:f>
        <x:v>0</x:v>
      </x:c>
      <x:c r="K63" s="2" t="str">
        <x:f>'Invoices'!F63</x:f>
        <x:v>No</x:v>
      </x:c>
      <x:c r="L63" s="10" t="n">
        <x:f>'Start Here'!$B$5</x:f>
        <x:v>46295</x:v>
      </x:c>
    </x:row>
    <x:row r="64" ht="23" customHeight="1">
      <x:c r="A64" s="2" t="str">
        <x:f>'Invoices'!A64</x:f>
        <x:v>INV00060</x:v>
      </x:c>
      <x:c r="B64" s="2" t="str">
        <x:f>'Invoices'!B64</x:f>
        <x:v>C036</x:v>
      </x:c>
      <x:c r="C64" s="10" t="n">
        <x:f>'Invoices'!C64</x:f>
        <x:v>46089</x:v>
      </x:c>
      <x:c r="D64" s="10" t="n">
        <x:f>'Invoices'!D64</x:f>
        <x:v>46104</x:v>
      </x:c>
      <x:c r="E64" s="11" t="n">
        <x:f>'Invoices'!E64</x:f>
        <x:v>11874.02</x:v>
      </x:c>
      <x:c r="F64" s="11" t="n">
        <x:f>SUMIFS('Payments'!$E$5:$E$429,'Payments'!$B$5:$B$429,A64,'Payments'!$D$5:$D$429,"&lt;="&amp;'Start Here'!$B$5)</x:f>
        <x:v>11874.02</x:v>
      </x:c>
      <x:c r="G64" s="11" t="n">
        <x:f>ROUND(E64-F64,2)</x:f>
        <x:v>0</x:v>
      </x:c>
      <x:c r="H64" s="2" t="n">
        <x:f>IF(G64&gt;0,MAX(0,'Start Here'!$B$5-D64),0)</x:f>
        <x:v>0</x:v>
      </x:c>
      <x:c r="I64" s="2" t="str">
        <x:f>IF(G64=0,"Paid",IF(H64=0,"Current",IF(H64&lt;=30,"1-30",IF(H64&lt;=60,"31-60",IF(H64&lt;=90,"61-90","91+")))))</x:f>
        <x:v>Paid</x:v>
      </x:c>
      <x:c r="J64" s="2" t="n">
        <x:f>IF(G64=0,0,IF(H64=0,1,IF(H64&lt;=30,2,IF(H64&lt;=60,3,IF(H64&lt;=90,4,5)))))</x:f>
        <x:v>0</x:v>
      </x:c>
      <x:c r="K64" s="2" t="str">
        <x:f>'Invoices'!F64</x:f>
        <x:v>No</x:v>
      </x:c>
      <x:c r="L64" s="10" t="n">
        <x:f>'Start Here'!$B$5</x:f>
        <x:v>46295</x:v>
      </x:c>
    </x:row>
    <x:row r="65" ht="23" customHeight="1">
      <x:c r="A65" s="2" t="str">
        <x:f>'Invoices'!A65</x:f>
        <x:v>INV00061</x:v>
      </x:c>
      <x:c r="B65" s="2" t="str">
        <x:f>'Invoices'!B65</x:f>
        <x:v>C034</x:v>
      </x:c>
      <x:c r="C65" s="10" t="n">
        <x:f>'Invoices'!C65</x:f>
        <x:v>46172</x:v>
      </x:c>
      <x:c r="D65" s="10" t="n">
        <x:f>'Invoices'!D65</x:f>
        <x:v>46202</x:v>
      </x:c>
      <x:c r="E65" s="11" t="n">
        <x:f>'Invoices'!E65</x:f>
        <x:v>18808.75</x:v>
      </x:c>
      <x:c r="F65" s="11" t="n">
        <x:f>SUMIFS('Payments'!$E$5:$E$429,'Payments'!$B$5:$B$429,A65,'Payments'!$D$5:$D$429,"&lt;="&amp;'Start Here'!$B$5)</x:f>
        <x:v>18808.75</x:v>
      </x:c>
      <x:c r="G65" s="11" t="n">
        <x:f>ROUND(E65-F65,2)</x:f>
        <x:v>0</x:v>
      </x:c>
      <x:c r="H65" s="2" t="n">
        <x:f>IF(G65&gt;0,MAX(0,'Start Here'!$B$5-D65),0)</x:f>
        <x:v>0</x:v>
      </x:c>
      <x:c r="I65" s="2" t="str">
        <x:f>IF(G65=0,"Paid",IF(H65=0,"Current",IF(H65&lt;=30,"1-30",IF(H65&lt;=60,"31-60",IF(H65&lt;=90,"61-90","91+")))))</x:f>
        <x:v>Paid</x:v>
      </x:c>
      <x:c r="J65" s="2" t="n">
        <x:f>IF(G65=0,0,IF(H65=0,1,IF(H65&lt;=30,2,IF(H65&lt;=60,3,IF(H65&lt;=90,4,5)))))</x:f>
        <x:v>0</x:v>
      </x:c>
      <x:c r="K65" s="2" t="str">
        <x:f>'Invoices'!F65</x:f>
        <x:v>No</x:v>
      </x:c>
      <x:c r="L65" s="10" t="n">
        <x:f>'Start Here'!$B$5</x:f>
        <x:v>46295</x:v>
      </x:c>
    </x:row>
    <x:row r="66" ht="23" customHeight="1">
      <x:c r="A66" s="2" t="str">
        <x:f>'Invoices'!A66</x:f>
        <x:v>INV00062</x:v>
      </x:c>
      <x:c r="B66" s="2" t="str">
        <x:f>'Invoices'!B66</x:f>
        <x:v>C035</x:v>
      </x:c>
      <x:c r="C66" s="10" t="n">
        <x:f>'Invoices'!C66</x:f>
        <x:v>46146</x:v>
      </x:c>
      <x:c r="D66" s="10" t="n">
        <x:f>'Invoices'!D66</x:f>
        <x:v>46176</x:v>
      </x:c>
      <x:c r="E66" s="11" t="n">
        <x:f>'Invoices'!E66</x:f>
        <x:v>19332.16</x:v>
      </x:c>
      <x:c r="F66" s="11" t="n">
        <x:f>SUMIFS('Payments'!$E$5:$E$429,'Payments'!$B$5:$B$429,A66,'Payments'!$D$5:$D$429,"&lt;="&amp;'Start Here'!$B$5)</x:f>
        <x:v>19332.16</x:v>
      </x:c>
      <x:c r="G66" s="11" t="n">
        <x:f>ROUND(E66-F66,2)</x:f>
        <x:v>0</x:v>
      </x:c>
      <x:c r="H66" s="2" t="n">
        <x:f>IF(G66&gt;0,MAX(0,'Start Here'!$B$5-D66),0)</x:f>
        <x:v>0</x:v>
      </x:c>
      <x:c r="I66" s="2" t="str">
        <x:f>IF(G66=0,"Paid",IF(H66=0,"Current",IF(H66&lt;=30,"1-30",IF(H66&lt;=60,"31-60",IF(H66&lt;=90,"61-90","91+")))))</x:f>
        <x:v>Paid</x:v>
      </x:c>
      <x:c r="J66" s="2" t="n">
        <x:f>IF(G66=0,0,IF(H66=0,1,IF(H66&lt;=30,2,IF(H66&lt;=60,3,IF(H66&lt;=90,4,5)))))</x:f>
        <x:v>0</x:v>
      </x:c>
      <x:c r="K66" s="2" t="str">
        <x:f>'Invoices'!F66</x:f>
        <x:v>No</x:v>
      </x:c>
      <x:c r="L66" s="10" t="n">
        <x:f>'Start Here'!$B$5</x:f>
        <x:v>46295</x:v>
      </x:c>
    </x:row>
    <x:row r="67" ht="23" customHeight="1">
      <x:c r="A67" s="2" t="str">
        <x:f>'Invoices'!A67</x:f>
        <x:v>INV00063</x:v>
      </x:c>
      <x:c r="B67" s="2" t="str">
        <x:f>'Invoices'!B67</x:f>
        <x:v>C034</x:v>
      </x:c>
      <x:c r="C67" s="10" t="n">
        <x:f>'Invoices'!C67</x:f>
        <x:v>46287</x:v>
      </x:c>
      <x:c r="D67" s="10" t="n">
        <x:f>'Invoices'!D67</x:f>
        <x:v>46317</x:v>
      </x:c>
      <x:c r="E67" s="11" t="n">
        <x:f>'Invoices'!E67</x:f>
        <x:v>11383.5</x:v>
      </x:c>
      <x:c r="F67" s="11" t="n">
        <x:f>SUMIFS('Payments'!$E$5:$E$429,'Payments'!$B$5:$B$429,A67,'Payments'!$D$5:$D$429,"&lt;="&amp;'Start Here'!$B$5)</x:f>
        <x:v>0</x:v>
      </x:c>
      <x:c r="G67" s="11" t="n">
        <x:f>ROUND(E67-F67,2)</x:f>
        <x:v>11383.5</x:v>
      </x:c>
      <x:c r="H67" s="2" t="n">
        <x:f>IF(G67&gt;0,MAX(0,'Start Here'!$B$5-D67),0)</x:f>
        <x:v>0</x:v>
      </x:c>
      <x:c r="I67" s="2" t="str">
        <x:f>IF(G67=0,"Paid",IF(H67=0,"Current",IF(H67&lt;=30,"1-30",IF(H67&lt;=60,"31-60",IF(H67&lt;=90,"61-90","91+")))))</x:f>
        <x:v>Current</x:v>
      </x:c>
      <x:c r="J67" s="2" t="n">
        <x:f>IF(G67=0,0,IF(H67=0,1,IF(H67&lt;=30,2,IF(H67&lt;=60,3,IF(H67&lt;=90,4,5)))))</x:f>
        <x:v>1</x:v>
      </x:c>
      <x:c r="K67" s="2" t="str">
        <x:f>'Invoices'!F67</x:f>
        <x:v>No</x:v>
      </x:c>
      <x:c r="L67" s="10" t="n">
        <x:f>'Start Here'!$B$5</x:f>
        <x:v>46295</x:v>
      </x:c>
    </x:row>
    <x:row r="68" ht="23" customHeight="1">
      <x:c r="A68" s="2" t="str">
        <x:f>'Invoices'!A68</x:f>
        <x:v>INV00064</x:v>
      </x:c>
      <x:c r="B68" s="2" t="str">
        <x:f>'Invoices'!B68</x:f>
        <x:v>C019</x:v>
      </x:c>
      <x:c r="C68" s="10" t="n">
        <x:f>'Invoices'!C68</x:f>
        <x:v>46150</x:v>
      </x:c>
      <x:c r="D68" s="10" t="n">
        <x:f>'Invoices'!D68</x:f>
        <x:v>46195</x:v>
      </x:c>
      <x:c r="E68" s="11" t="n">
        <x:f>'Invoices'!E68</x:f>
        <x:v>4201.51</x:v>
      </x:c>
      <x:c r="F68" s="11" t="n">
        <x:f>SUMIFS('Payments'!$E$5:$E$429,'Payments'!$B$5:$B$429,A68,'Payments'!$D$5:$D$429,"&lt;="&amp;'Start Here'!$B$5)</x:f>
        <x:v>4201.51</x:v>
      </x:c>
      <x:c r="G68" s="11" t="n">
        <x:f>ROUND(E68-F68,2)</x:f>
        <x:v>0</x:v>
      </x:c>
      <x:c r="H68" s="2" t="n">
        <x:f>IF(G68&gt;0,MAX(0,'Start Here'!$B$5-D68),0)</x:f>
        <x:v>0</x:v>
      </x:c>
      <x:c r="I68" s="2" t="str">
        <x:f>IF(G68=0,"Paid",IF(H68=0,"Current",IF(H68&lt;=30,"1-30",IF(H68&lt;=60,"31-60",IF(H68&lt;=90,"61-90","91+")))))</x:f>
        <x:v>Paid</x:v>
      </x:c>
      <x:c r="J68" s="2" t="n">
        <x:f>IF(G68=0,0,IF(H68=0,1,IF(H68&lt;=30,2,IF(H68&lt;=60,3,IF(H68&lt;=90,4,5)))))</x:f>
        <x:v>0</x:v>
      </x:c>
      <x:c r="K68" s="2" t="str">
        <x:f>'Invoices'!F68</x:f>
        <x:v>No</x:v>
      </x:c>
      <x:c r="L68" s="10" t="n">
        <x:f>'Start Here'!$B$5</x:f>
        <x:v>46295</x:v>
      </x:c>
    </x:row>
    <x:row r="69" ht="23" customHeight="1">
      <x:c r="A69" s="2" t="str">
        <x:f>'Invoices'!A69</x:f>
        <x:v>INV00065</x:v>
      </x:c>
      <x:c r="B69" s="2" t="str">
        <x:f>'Invoices'!B69</x:f>
        <x:v>C025</x:v>
      </x:c>
      <x:c r="C69" s="10" t="n">
        <x:f>'Invoices'!C69</x:f>
        <x:v>46223</x:v>
      </x:c>
      <x:c r="D69" s="10" t="n">
        <x:f>'Invoices'!D69</x:f>
        <x:v>46253</x:v>
      </x:c>
      <x:c r="E69" s="11" t="n">
        <x:f>'Invoices'!E69</x:f>
        <x:v>9597.59</x:v>
      </x:c>
      <x:c r="F69" s="11" t="n">
        <x:f>SUMIFS('Payments'!$E$5:$E$429,'Payments'!$B$5:$B$429,A69,'Payments'!$D$5:$D$429,"&lt;="&amp;'Start Here'!$B$5)</x:f>
        <x:v>9597.59</x:v>
      </x:c>
      <x:c r="G69" s="11" t="n">
        <x:f>ROUND(E69-F69,2)</x:f>
        <x:v>0</x:v>
      </x:c>
      <x:c r="H69" s="2" t="n">
        <x:f>IF(G69&gt;0,MAX(0,'Start Here'!$B$5-D69),0)</x:f>
        <x:v>0</x:v>
      </x:c>
      <x:c r="I69" s="2" t="str">
        <x:f>IF(G69=0,"Paid",IF(H69=0,"Current",IF(H69&lt;=30,"1-30",IF(H69&lt;=60,"31-60",IF(H69&lt;=90,"61-90","91+")))))</x:f>
        <x:v>Paid</x:v>
      </x:c>
      <x:c r="J69" s="2" t="n">
        <x:f>IF(G69=0,0,IF(H69=0,1,IF(H69&lt;=30,2,IF(H69&lt;=60,3,IF(H69&lt;=90,4,5)))))</x:f>
        <x:v>0</x:v>
      </x:c>
      <x:c r="K69" s="2" t="str">
        <x:f>'Invoices'!F69</x:f>
        <x:v>No</x:v>
      </x:c>
      <x:c r="L69" s="10" t="n">
        <x:f>'Start Here'!$B$5</x:f>
        <x:v>46295</x:v>
      </x:c>
    </x:row>
    <x:row r="70" ht="23" customHeight="1">
      <x:c r="A70" s="2" t="str">
        <x:f>'Invoices'!A70</x:f>
        <x:v>INV00066</x:v>
      </x:c>
      <x:c r="B70" s="2" t="str">
        <x:f>'Invoices'!B70</x:f>
        <x:v>C006</x:v>
      </x:c>
      <x:c r="C70" s="10" t="n">
        <x:f>'Invoices'!C70</x:f>
        <x:v>46143</x:v>
      </x:c>
      <x:c r="D70" s="10" t="n">
        <x:f>'Invoices'!D70</x:f>
        <x:v>46173</x:v>
      </x:c>
      <x:c r="E70" s="11" t="n">
        <x:f>'Invoices'!E70</x:f>
        <x:v>10760.06</x:v>
      </x:c>
      <x:c r="F70" s="11" t="n">
        <x:f>SUMIFS('Payments'!$E$5:$E$429,'Payments'!$B$5:$B$429,A70,'Payments'!$D$5:$D$429,"&lt;="&amp;'Start Here'!$B$5)</x:f>
        <x:v>10760.06</x:v>
      </x:c>
      <x:c r="G70" s="11" t="n">
        <x:f>ROUND(E70-F70,2)</x:f>
        <x:v>0</x:v>
      </x:c>
      <x:c r="H70" s="2" t="n">
        <x:f>IF(G70&gt;0,MAX(0,'Start Here'!$B$5-D70),0)</x:f>
        <x:v>0</x:v>
      </x:c>
      <x:c r="I70" s="2" t="str">
        <x:f>IF(G70=0,"Paid",IF(H70=0,"Current",IF(H70&lt;=30,"1-30",IF(H70&lt;=60,"31-60",IF(H70&lt;=90,"61-90","91+")))))</x:f>
        <x:v>Paid</x:v>
      </x:c>
      <x:c r="J70" s="2" t="n">
        <x:f>IF(G70=0,0,IF(H70=0,1,IF(H70&lt;=30,2,IF(H70&lt;=60,3,IF(H70&lt;=90,4,5)))))</x:f>
        <x:v>0</x:v>
      </x:c>
      <x:c r="K70" s="2" t="str">
        <x:f>'Invoices'!F70</x:f>
        <x:v>No</x:v>
      </x:c>
      <x:c r="L70" s="10" t="n">
        <x:f>'Start Here'!$B$5</x:f>
        <x:v>46295</x:v>
      </x:c>
    </x:row>
    <x:row r="71" ht="23" customHeight="1">
      <x:c r="A71" s="2" t="str">
        <x:f>'Invoices'!A71</x:f>
        <x:v>INV00067</x:v>
      </x:c>
      <x:c r="B71" s="2" t="str">
        <x:f>'Invoices'!B71</x:f>
        <x:v>C015</x:v>
      </x:c>
      <x:c r="C71" s="10" t="n">
        <x:f>'Invoices'!C71</x:f>
        <x:v>46112</x:v>
      </x:c>
      <x:c r="D71" s="10" t="n">
        <x:f>'Invoices'!D71</x:f>
        <x:v>46172</x:v>
      </x:c>
      <x:c r="E71" s="11" t="n">
        <x:f>'Invoices'!E71</x:f>
        <x:v>5228.2</x:v>
      </x:c>
      <x:c r="F71" s="11" t="n">
        <x:f>SUMIFS('Payments'!$E$5:$E$429,'Payments'!$B$5:$B$429,A71,'Payments'!$D$5:$D$429,"&lt;="&amp;'Start Here'!$B$5)</x:f>
        <x:v>5228.2</x:v>
      </x:c>
      <x:c r="G71" s="11" t="n">
        <x:f>ROUND(E71-F71,2)</x:f>
        <x:v>0</x:v>
      </x:c>
      <x:c r="H71" s="2" t="n">
        <x:f>IF(G71&gt;0,MAX(0,'Start Here'!$B$5-D71),0)</x:f>
        <x:v>0</x:v>
      </x:c>
      <x:c r="I71" s="2" t="str">
        <x:f>IF(G71=0,"Paid",IF(H71=0,"Current",IF(H71&lt;=30,"1-30",IF(H71&lt;=60,"31-60",IF(H71&lt;=90,"61-90","91+")))))</x:f>
        <x:v>Paid</x:v>
      </x:c>
      <x:c r="J71" s="2" t="n">
        <x:f>IF(G71=0,0,IF(H71=0,1,IF(H71&lt;=30,2,IF(H71&lt;=60,3,IF(H71&lt;=90,4,5)))))</x:f>
        <x:v>0</x:v>
      </x:c>
      <x:c r="K71" s="2" t="str">
        <x:f>'Invoices'!F71</x:f>
        <x:v>No</x:v>
      </x:c>
      <x:c r="L71" s="10" t="n">
        <x:f>'Start Here'!$B$5</x:f>
        <x:v>46295</x:v>
      </x:c>
    </x:row>
    <x:row r="72" ht="23" customHeight="1">
      <x:c r="A72" s="2" t="str">
        <x:f>'Invoices'!A72</x:f>
        <x:v>INV00068</x:v>
      </x:c>
      <x:c r="B72" s="2" t="str">
        <x:f>'Invoices'!B72</x:f>
        <x:v>C022</x:v>
      </x:c>
      <x:c r="C72" s="10" t="n">
        <x:f>'Invoices'!C72</x:f>
        <x:v>46152</x:v>
      </x:c>
      <x:c r="D72" s="10" t="n">
        <x:f>'Invoices'!D72</x:f>
        <x:v>46167</x:v>
      </x:c>
      <x:c r="E72" s="11" t="n">
        <x:f>'Invoices'!E72</x:f>
        <x:v>7786.18</x:v>
      </x:c>
      <x:c r="F72" s="11" t="n">
        <x:f>SUMIFS('Payments'!$E$5:$E$429,'Payments'!$B$5:$B$429,A72,'Payments'!$D$5:$D$429,"&lt;="&amp;'Start Here'!$B$5)</x:f>
        <x:v>7786.18</x:v>
      </x:c>
      <x:c r="G72" s="11" t="n">
        <x:f>ROUND(E72-F72,2)</x:f>
        <x:v>0</x:v>
      </x:c>
      <x:c r="H72" s="2" t="n">
        <x:f>IF(G72&gt;0,MAX(0,'Start Here'!$B$5-D72),0)</x:f>
        <x:v>0</x:v>
      </x:c>
      <x:c r="I72" s="2" t="str">
        <x:f>IF(G72=0,"Paid",IF(H72=0,"Current",IF(H72&lt;=30,"1-30",IF(H72&lt;=60,"31-60",IF(H72&lt;=90,"61-90","91+")))))</x:f>
        <x:v>Paid</x:v>
      </x:c>
      <x:c r="J72" s="2" t="n">
        <x:f>IF(G72=0,0,IF(H72=0,1,IF(H72&lt;=30,2,IF(H72&lt;=60,3,IF(H72&lt;=90,4,5)))))</x:f>
        <x:v>0</x:v>
      </x:c>
      <x:c r="K72" s="2" t="str">
        <x:f>'Invoices'!F72</x:f>
        <x:v>No</x:v>
      </x:c>
      <x:c r="L72" s="10" t="n">
        <x:f>'Start Here'!$B$5</x:f>
        <x:v>46295</x:v>
      </x:c>
    </x:row>
    <x:row r="73" ht="23" customHeight="1">
      <x:c r="A73" s="2" t="str">
        <x:f>'Invoices'!A73</x:f>
        <x:v>INV00069</x:v>
      </x:c>
      <x:c r="B73" s="2" t="str">
        <x:f>'Invoices'!B73</x:f>
        <x:v>C002</x:v>
      </x:c>
      <x:c r="C73" s="10" t="n">
        <x:f>'Invoices'!C73</x:f>
        <x:v>46034</x:v>
      </x:c>
      <x:c r="D73" s="10" t="n">
        <x:f>'Invoices'!D73</x:f>
        <x:v>46064</x:v>
      </x:c>
      <x:c r="E73" s="11" t="n">
        <x:f>'Invoices'!E73</x:f>
        <x:v>4398.05</x:v>
      </x:c>
      <x:c r="F73" s="11" t="n">
        <x:f>SUMIFS('Payments'!$E$5:$E$429,'Payments'!$B$5:$B$429,A73,'Payments'!$D$5:$D$429,"&lt;="&amp;'Start Here'!$B$5)</x:f>
        <x:v>0</x:v>
      </x:c>
      <x:c r="G73" s="11" t="n">
        <x:f>ROUND(E73-F73,2)</x:f>
        <x:v>4398.05</x:v>
      </x:c>
      <x:c r="H73" s="2" t="n">
        <x:f>IF(G73&gt;0,MAX(0,'Start Here'!$B$5-D73),0)</x:f>
        <x:v>231</x:v>
      </x:c>
      <x:c r="I73" s="2" t="str">
        <x:f>IF(G73=0,"Paid",IF(H73=0,"Current",IF(H73&lt;=30,"1-30",IF(H73&lt;=60,"31-60",IF(H73&lt;=90,"61-90","91+")))))</x:f>
        <x:v>91+</x:v>
      </x:c>
      <x:c r="J73" s="2" t="n">
        <x:f>IF(G73=0,0,IF(H73=0,1,IF(H73&lt;=30,2,IF(H73&lt;=60,3,IF(H73&lt;=90,4,5)))))</x:f>
        <x:v>5</x:v>
      </x:c>
      <x:c r="K73" s="2" t="str">
        <x:f>'Invoices'!F73</x:f>
        <x:v>Yes</x:v>
      </x:c>
      <x:c r="L73" s="10" t="n">
        <x:f>'Start Here'!$B$5</x:f>
        <x:v>46295</x:v>
      </x:c>
    </x:row>
    <x:row r="74" ht="23" customHeight="1">
      <x:c r="A74" s="2" t="str">
        <x:f>'Invoices'!A74</x:f>
        <x:v>INV00070</x:v>
      </x:c>
      <x:c r="B74" s="2" t="str">
        <x:f>'Invoices'!B74</x:f>
        <x:v>C009</x:v>
      </x:c>
      <x:c r="C74" s="10" t="n">
        <x:f>'Invoices'!C74</x:f>
        <x:v>46238</x:v>
      </x:c>
      <x:c r="D74" s="10" t="n">
        <x:f>'Invoices'!D74</x:f>
        <x:v>46283</x:v>
      </x:c>
      <x:c r="E74" s="11" t="n">
        <x:f>'Invoices'!E74</x:f>
        <x:v>8971.56</x:v>
      </x:c>
      <x:c r="F74" s="11" t="n">
        <x:f>SUMIFS('Payments'!$E$5:$E$429,'Payments'!$B$5:$B$429,A74,'Payments'!$D$5:$D$429,"&lt;="&amp;'Start Here'!$B$5)</x:f>
        <x:v>0</x:v>
      </x:c>
      <x:c r="G74" s="11" t="n">
        <x:f>ROUND(E74-F74,2)</x:f>
        <x:v>8971.56</x:v>
      </x:c>
      <x:c r="H74" s="2" t="n">
        <x:f>IF(G74&gt;0,MAX(0,'Start Here'!$B$5-D74),0)</x:f>
        <x:v>12</x:v>
      </x:c>
      <x:c r="I74" s="2" t="str">
        <x:f>IF(G74=0,"Paid",IF(H74=0,"Current",IF(H74&lt;=30,"1-30",IF(H74&lt;=60,"31-60",IF(H74&lt;=90,"61-90","91+")))))</x:f>
        <x:v>1-30</x:v>
      </x:c>
      <x:c r="J74" s="2" t="n">
        <x:f>IF(G74=0,0,IF(H74=0,1,IF(H74&lt;=30,2,IF(H74&lt;=60,3,IF(H74&lt;=90,4,5)))))</x:f>
        <x:v>2</x:v>
      </x:c>
      <x:c r="K74" s="2" t="str">
        <x:f>'Invoices'!F74</x:f>
        <x:v>No</x:v>
      </x:c>
      <x:c r="L74" s="10" t="n">
        <x:f>'Start Here'!$B$5</x:f>
        <x:v>46295</x:v>
      </x:c>
    </x:row>
    <x:row r="75" ht="23" customHeight="1">
      <x:c r="A75" s="2" t="str">
        <x:f>'Invoices'!A75</x:f>
        <x:v>INV00071</x:v>
      </x:c>
      <x:c r="B75" s="2" t="str">
        <x:f>'Invoices'!B75</x:f>
        <x:v>C017</x:v>
      </x:c>
      <x:c r="C75" s="10" t="n">
        <x:f>'Invoices'!C75</x:f>
        <x:v>46077</x:v>
      </x:c>
      <x:c r="D75" s="10" t="n">
        <x:f>'Invoices'!D75</x:f>
        <x:v>46107</x:v>
      </x:c>
      <x:c r="E75" s="11" t="n">
        <x:f>'Invoices'!E75</x:f>
        <x:v>13376.27</x:v>
      </x:c>
      <x:c r="F75" s="11" t="n">
        <x:f>SUMIFS('Payments'!$E$5:$E$429,'Payments'!$B$5:$B$429,A75,'Payments'!$D$5:$D$429,"&lt;="&amp;'Start Here'!$B$5)</x:f>
        <x:v>0</x:v>
      </x:c>
      <x:c r="G75" s="11" t="n">
        <x:f>ROUND(E75-F75,2)</x:f>
        <x:v>13376.27</x:v>
      </x:c>
      <x:c r="H75" s="2" t="n">
        <x:f>IF(G75&gt;0,MAX(0,'Start Here'!$B$5-D75),0)</x:f>
        <x:v>188</x:v>
      </x:c>
      <x:c r="I75" s="2" t="str">
        <x:f>IF(G75=0,"Paid",IF(H75=0,"Current",IF(H75&lt;=30,"1-30",IF(H75&lt;=60,"31-60",IF(H75&lt;=90,"61-90","91+")))))</x:f>
        <x:v>91+</x:v>
      </x:c>
      <x:c r="J75" s="2" t="n">
        <x:f>IF(G75=0,0,IF(H75=0,1,IF(H75&lt;=30,2,IF(H75&lt;=60,3,IF(H75&lt;=90,4,5)))))</x:f>
        <x:v>5</x:v>
      </x:c>
      <x:c r="K75" s="2" t="str">
        <x:f>'Invoices'!F75</x:f>
        <x:v>No</x:v>
      </x:c>
      <x:c r="L75" s="10" t="n">
        <x:f>'Start Here'!$B$5</x:f>
        <x:v>46295</x:v>
      </x:c>
    </x:row>
    <x:row r="76" ht="23" customHeight="1">
      <x:c r="A76" s="2" t="str">
        <x:f>'Invoices'!A76</x:f>
        <x:v>INV00072</x:v>
      </x:c>
      <x:c r="B76" s="2" t="str">
        <x:f>'Invoices'!B76</x:f>
        <x:v>C014</x:v>
      </x:c>
      <x:c r="C76" s="10" t="n">
        <x:f>'Invoices'!C76</x:f>
        <x:v>46118</x:v>
      </x:c>
      <x:c r="D76" s="10" t="n">
        <x:f>'Invoices'!D76</x:f>
        <x:v>46148</x:v>
      </x:c>
      <x:c r="E76" s="11" t="n">
        <x:f>'Invoices'!E76</x:f>
        <x:v>14819.99</x:v>
      </x:c>
      <x:c r="F76" s="11" t="n">
        <x:f>SUMIFS('Payments'!$E$5:$E$429,'Payments'!$B$5:$B$429,A76,'Payments'!$D$5:$D$429,"&lt;="&amp;'Start Here'!$B$5)</x:f>
        <x:v>14819.99</x:v>
      </x:c>
      <x:c r="G76" s="11" t="n">
        <x:f>ROUND(E76-F76,2)</x:f>
        <x:v>0</x:v>
      </x:c>
      <x:c r="H76" s="2" t="n">
        <x:f>IF(G76&gt;0,MAX(0,'Start Here'!$B$5-D76),0)</x:f>
        <x:v>0</x:v>
      </x:c>
      <x:c r="I76" s="2" t="str">
        <x:f>IF(G76=0,"Paid",IF(H76=0,"Current",IF(H76&lt;=30,"1-30",IF(H76&lt;=60,"31-60",IF(H76&lt;=90,"61-90","91+")))))</x:f>
        <x:v>Paid</x:v>
      </x:c>
      <x:c r="J76" s="2" t="n">
        <x:f>IF(G76=0,0,IF(H76=0,1,IF(H76&lt;=30,2,IF(H76&lt;=60,3,IF(H76&lt;=90,4,5)))))</x:f>
        <x:v>0</x:v>
      </x:c>
      <x:c r="K76" s="2" t="str">
        <x:f>'Invoices'!F76</x:f>
        <x:v>No</x:v>
      </x:c>
      <x:c r="L76" s="10" t="n">
        <x:f>'Start Here'!$B$5</x:f>
        <x:v>46295</x:v>
      </x:c>
    </x:row>
    <x:row r="77" ht="23" customHeight="1">
      <x:c r="A77" s="2" t="str">
        <x:f>'Invoices'!A77</x:f>
        <x:v>INV00073</x:v>
      </x:c>
      <x:c r="B77" s="2" t="str">
        <x:f>'Invoices'!B77</x:f>
        <x:v>C010</x:v>
      </x:c>
      <x:c r="C77" s="10" t="n">
        <x:f>'Invoices'!C77</x:f>
        <x:v>46103</x:v>
      </x:c>
      <x:c r="D77" s="10" t="n">
        <x:f>'Invoices'!D77</x:f>
        <x:v>46118</x:v>
      </x:c>
      <x:c r="E77" s="11" t="n">
        <x:f>'Invoices'!E77</x:f>
        <x:v>16969.98</x:v>
      </x:c>
      <x:c r="F77" s="11" t="n">
        <x:f>SUMIFS('Payments'!$E$5:$E$429,'Payments'!$B$5:$B$429,A77,'Payments'!$D$5:$D$429,"&lt;="&amp;'Start Here'!$B$5)</x:f>
        <x:v>16969.98</x:v>
      </x:c>
      <x:c r="G77" s="11" t="n">
        <x:f>ROUND(E77-F77,2)</x:f>
        <x:v>0</x:v>
      </x:c>
      <x:c r="H77" s="2" t="n">
        <x:f>IF(G77&gt;0,MAX(0,'Start Here'!$B$5-D77),0)</x:f>
        <x:v>0</x:v>
      </x:c>
      <x:c r="I77" s="2" t="str">
        <x:f>IF(G77=0,"Paid",IF(H77=0,"Current",IF(H77&lt;=30,"1-30",IF(H77&lt;=60,"31-60",IF(H77&lt;=90,"61-90","91+")))))</x:f>
        <x:v>Paid</x:v>
      </x:c>
      <x:c r="J77" s="2" t="n">
        <x:f>IF(G77=0,0,IF(H77=0,1,IF(H77&lt;=30,2,IF(H77&lt;=60,3,IF(H77&lt;=90,4,5)))))</x:f>
        <x:v>0</x:v>
      </x:c>
      <x:c r="K77" s="2" t="str">
        <x:f>'Invoices'!F77</x:f>
        <x:v>No</x:v>
      </x:c>
      <x:c r="L77" s="10" t="n">
        <x:f>'Start Here'!$B$5</x:f>
        <x:v>46295</x:v>
      </x:c>
    </x:row>
    <x:row r="78" ht="23" customHeight="1">
      <x:c r="A78" s="2" t="str">
        <x:f>'Invoices'!A78</x:f>
        <x:v>INV00074</x:v>
      </x:c>
      <x:c r="B78" s="2" t="str">
        <x:f>'Invoices'!B78</x:f>
        <x:v>C011</x:v>
      </x:c>
      <x:c r="C78" s="10" t="n">
        <x:f>'Invoices'!C78</x:f>
        <x:v>46169</x:v>
      </x:c>
      <x:c r="D78" s="10" t="n">
        <x:f>'Invoices'!D78</x:f>
        <x:v>46229</x:v>
      </x:c>
      <x:c r="E78" s="11" t="n">
        <x:f>'Invoices'!E78</x:f>
        <x:v>11134.73</x:v>
      </x:c>
      <x:c r="F78" s="11" t="n">
        <x:f>SUMIFS('Payments'!$E$5:$E$429,'Payments'!$B$5:$B$429,A78,'Payments'!$D$5:$D$429,"&lt;="&amp;'Start Here'!$B$5)</x:f>
        <x:v>5567.37</x:v>
      </x:c>
      <x:c r="G78" s="11" t="n">
        <x:f>ROUND(E78-F78,2)</x:f>
        <x:v>5567.36</x:v>
      </x:c>
      <x:c r="H78" s="2" t="n">
        <x:f>IF(G78&gt;0,MAX(0,'Start Here'!$B$5-D78),0)</x:f>
        <x:v>66</x:v>
      </x:c>
      <x:c r="I78" s="2" t="str">
        <x:f>IF(G78=0,"Paid",IF(H78=0,"Current",IF(H78&lt;=30,"1-30",IF(H78&lt;=60,"31-60",IF(H78&lt;=90,"61-90","91+")))))</x:f>
        <x:v>61-90</x:v>
      </x:c>
      <x:c r="J78" s="2" t="n">
        <x:f>IF(G78=0,0,IF(H78=0,1,IF(H78&lt;=30,2,IF(H78&lt;=60,3,IF(H78&lt;=90,4,5)))))</x:f>
        <x:v>4</x:v>
      </x:c>
      <x:c r="K78" s="2" t="str">
        <x:f>'Invoices'!F78</x:f>
        <x:v>No</x:v>
      </x:c>
      <x:c r="L78" s="10" t="n">
        <x:f>'Start Here'!$B$5</x:f>
        <x:v>46295</x:v>
      </x:c>
    </x:row>
    <x:row r="79" ht="23" customHeight="1">
      <x:c r="A79" s="2" t="str">
        <x:f>'Invoices'!A79</x:f>
        <x:v>INV00075</x:v>
      </x:c>
      <x:c r="B79" s="2" t="str">
        <x:f>'Invoices'!B79</x:f>
        <x:v>C028</x:v>
      </x:c>
      <x:c r="C79" s="10" t="n">
        <x:f>'Invoices'!C79</x:f>
        <x:v>46187</x:v>
      </x:c>
      <x:c r="D79" s="10" t="n">
        <x:f>'Invoices'!D79</x:f>
        <x:v>46217</x:v>
      </x:c>
      <x:c r="E79" s="11" t="n">
        <x:f>'Invoices'!E79</x:f>
        <x:v>2905.16</x:v>
      </x:c>
      <x:c r="F79" s="11" t="n">
        <x:f>SUMIFS('Payments'!$E$5:$E$429,'Payments'!$B$5:$B$429,A79,'Payments'!$D$5:$D$429,"&lt;="&amp;'Start Here'!$B$5)</x:f>
        <x:v>2905.16</x:v>
      </x:c>
      <x:c r="G79" s="11" t="n">
        <x:f>ROUND(E79-F79,2)</x:f>
        <x:v>0</x:v>
      </x:c>
      <x:c r="H79" s="2" t="n">
        <x:f>IF(G79&gt;0,MAX(0,'Start Here'!$B$5-D79),0)</x:f>
        <x:v>0</x:v>
      </x:c>
      <x:c r="I79" s="2" t="str">
        <x:f>IF(G79=0,"Paid",IF(H79=0,"Current",IF(H79&lt;=30,"1-30",IF(H79&lt;=60,"31-60",IF(H79&lt;=90,"61-90","91+")))))</x:f>
        <x:v>Paid</x:v>
      </x:c>
      <x:c r="J79" s="2" t="n">
        <x:f>IF(G79=0,0,IF(H79=0,1,IF(H79&lt;=30,2,IF(H79&lt;=60,3,IF(H79&lt;=90,4,5)))))</x:f>
        <x:v>0</x:v>
      </x:c>
      <x:c r="K79" s="2" t="str">
        <x:f>'Invoices'!F79</x:f>
        <x:v>No</x:v>
      </x:c>
      <x:c r="L79" s="10" t="n">
        <x:f>'Start Here'!$B$5</x:f>
        <x:v>46295</x:v>
      </x:c>
    </x:row>
    <x:row r="80" ht="23" customHeight="1">
      <x:c r="A80" s="2" t="str">
        <x:f>'Invoices'!A80</x:f>
        <x:v>INV00076</x:v>
      </x:c>
      <x:c r="B80" s="2" t="str">
        <x:f>'Invoices'!B80</x:f>
        <x:v>C014</x:v>
      </x:c>
      <x:c r="C80" s="10" t="n">
        <x:f>'Invoices'!C80</x:f>
        <x:v>46098</x:v>
      </x:c>
      <x:c r="D80" s="10" t="n">
        <x:f>'Invoices'!D80</x:f>
        <x:v>46128</x:v>
      </x:c>
      <x:c r="E80" s="11" t="n">
        <x:f>'Invoices'!E80</x:f>
        <x:v>13219.41</x:v>
      </x:c>
      <x:c r="F80" s="11" t="n">
        <x:f>SUMIFS('Payments'!$E$5:$E$429,'Payments'!$B$5:$B$429,A80,'Payments'!$D$5:$D$429,"&lt;="&amp;'Start Here'!$B$5)</x:f>
        <x:v>13219.41</x:v>
      </x:c>
      <x:c r="G80" s="11" t="n">
        <x:f>ROUND(E80-F80,2)</x:f>
        <x:v>0</x:v>
      </x:c>
      <x:c r="H80" s="2" t="n">
        <x:f>IF(G80&gt;0,MAX(0,'Start Here'!$B$5-D80),0)</x:f>
        <x:v>0</x:v>
      </x:c>
      <x:c r="I80" s="2" t="str">
        <x:f>IF(G80=0,"Paid",IF(H80=0,"Current",IF(H80&lt;=30,"1-30",IF(H80&lt;=60,"31-60",IF(H80&lt;=90,"61-90","91+")))))</x:f>
        <x:v>Paid</x:v>
      </x:c>
      <x:c r="J80" s="2" t="n">
        <x:f>IF(G80=0,0,IF(H80=0,1,IF(H80&lt;=30,2,IF(H80&lt;=60,3,IF(H80&lt;=90,4,5)))))</x:f>
        <x:v>0</x:v>
      </x:c>
      <x:c r="K80" s="2" t="str">
        <x:f>'Invoices'!F80</x:f>
        <x:v>No</x:v>
      </x:c>
      <x:c r="L80" s="10" t="n">
        <x:f>'Start Here'!$B$5</x:f>
        <x:v>46295</x:v>
      </x:c>
    </x:row>
    <x:row r="81" ht="23" customHeight="1">
      <x:c r="A81" s="2" t="str">
        <x:f>'Invoices'!A81</x:f>
        <x:v>INV00077</x:v>
      </x:c>
      <x:c r="B81" s="2" t="str">
        <x:f>'Invoices'!B81</x:f>
        <x:v>C029</x:v>
      </x:c>
      <x:c r="C81" s="10" t="n">
        <x:f>'Invoices'!C81</x:f>
        <x:v>46052</x:v>
      </x:c>
      <x:c r="D81" s="10" t="n">
        <x:f>'Invoices'!D81</x:f>
        <x:v>46067</x:v>
      </x:c>
      <x:c r="E81" s="11" t="n">
        <x:f>'Invoices'!E81</x:f>
        <x:v>12573.83</x:v>
      </x:c>
      <x:c r="F81" s="11" t="n">
        <x:f>SUMIFS('Payments'!$E$5:$E$429,'Payments'!$B$5:$B$429,A81,'Payments'!$D$5:$D$429,"&lt;="&amp;'Start Here'!$B$5)</x:f>
        <x:v>12573.83</x:v>
      </x:c>
      <x:c r="G81" s="11" t="n">
        <x:f>ROUND(E81-F81,2)</x:f>
        <x:v>0</x:v>
      </x:c>
      <x:c r="H81" s="2" t="n">
        <x:f>IF(G81&gt;0,MAX(0,'Start Here'!$B$5-D81),0)</x:f>
        <x:v>0</x:v>
      </x:c>
      <x:c r="I81" s="2" t="str">
        <x:f>IF(G81=0,"Paid",IF(H81=0,"Current",IF(H81&lt;=30,"1-30",IF(H81&lt;=60,"31-60",IF(H81&lt;=90,"61-90","91+")))))</x:f>
        <x:v>Paid</x:v>
      </x:c>
      <x:c r="J81" s="2" t="n">
        <x:f>IF(G81=0,0,IF(H81=0,1,IF(H81&lt;=30,2,IF(H81&lt;=60,3,IF(H81&lt;=90,4,5)))))</x:f>
        <x:v>0</x:v>
      </x:c>
      <x:c r="K81" s="2" t="str">
        <x:f>'Invoices'!F81</x:f>
        <x:v>No</x:v>
      </x:c>
      <x:c r="L81" s="10" t="n">
        <x:f>'Start Here'!$B$5</x:f>
        <x:v>46295</x:v>
      </x:c>
    </x:row>
    <x:row r="82" ht="23" customHeight="1">
      <x:c r="A82" s="2" t="str">
        <x:f>'Invoices'!A82</x:f>
        <x:v>INV00078</x:v>
      </x:c>
      <x:c r="B82" s="2" t="str">
        <x:f>'Invoices'!B82</x:f>
        <x:v>C032</x:v>
      </x:c>
      <x:c r="C82" s="10" t="n">
        <x:f>'Invoices'!C82</x:f>
        <x:v>46159</x:v>
      </x:c>
      <x:c r="D82" s="10" t="n">
        <x:f>'Invoices'!D82</x:f>
        <x:v>46204</x:v>
      </x:c>
      <x:c r="E82" s="11" t="n">
        <x:f>'Invoices'!E82</x:f>
        <x:v>12148.76</x:v>
      </x:c>
      <x:c r="F82" s="11" t="n">
        <x:f>SUMIFS('Payments'!$E$5:$E$429,'Payments'!$B$5:$B$429,A82,'Payments'!$D$5:$D$429,"&lt;="&amp;'Start Here'!$B$5)</x:f>
        <x:v>12148.759999999998</x:v>
      </x:c>
      <x:c r="G82" s="11" t="n">
        <x:f>ROUND(E82-F82,2)</x:f>
        <x:v>0</x:v>
      </x:c>
      <x:c r="H82" s="2" t="n">
        <x:f>IF(G82&gt;0,MAX(0,'Start Here'!$B$5-D82),0)</x:f>
        <x:v>0</x:v>
      </x:c>
      <x:c r="I82" s="2" t="str">
        <x:f>IF(G82=0,"Paid",IF(H82=0,"Current",IF(H82&lt;=30,"1-30",IF(H82&lt;=60,"31-60",IF(H82&lt;=90,"61-90","91+")))))</x:f>
        <x:v>Paid</x:v>
      </x:c>
      <x:c r="J82" s="2" t="n">
        <x:f>IF(G82=0,0,IF(H82=0,1,IF(H82&lt;=30,2,IF(H82&lt;=60,3,IF(H82&lt;=90,4,5)))))</x:f>
        <x:v>0</x:v>
      </x:c>
      <x:c r="K82" s="2" t="str">
        <x:f>'Invoices'!F82</x:f>
        <x:v>No</x:v>
      </x:c>
      <x:c r="L82" s="10" t="n">
        <x:f>'Start Here'!$B$5</x:f>
        <x:v>46295</x:v>
      </x:c>
    </x:row>
    <x:row r="83" ht="23" customHeight="1">
      <x:c r="A83" s="2" t="str">
        <x:f>'Invoices'!A83</x:f>
        <x:v>INV00079</x:v>
      </x:c>
      <x:c r="B83" s="2" t="str">
        <x:f>'Invoices'!B83</x:f>
        <x:v>C014</x:v>
      </x:c>
      <x:c r="C83" s="10" t="n">
        <x:f>'Invoices'!C83</x:f>
        <x:v>46259</x:v>
      </x:c>
      <x:c r="D83" s="10" t="n">
        <x:f>'Invoices'!D83</x:f>
        <x:v>46289</x:v>
      </x:c>
      <x:c r="E83" s="11" t="n">
        <x:f>'Invoices'!E83</x:f>
        <x:v>12882.45</x:v>
      </x:c>
      <x:c r="F83" s="11" t="n">
        <x:f>SUMIFS('Payments'!$E$5:$E$429,'Payments'!$B$5:$B$429,A83,'Payments'!$D$5:$D$429,"&lt;="&amp;'Start Here'!$B$5)</x:f>
        <x:v>0</x:v>
      </x:c>
      <x:c r="G83" s="11" t="n">
        <x:f>ROUND(E83-F83,2)</x:f>
        <x:v>12882.45</x:v>
      </x:c>
      <x:c r="H83" s="2" t="n">
        <x:f>IF(G83&gt;0,MAX(0,'Start Here'!$B$5-D83),0)</x:f>
        <x:v>6</x:v>
      </x:c>
      <x:c r="I83" s="2" t="str">
        <x:f>IF(G83=0,"Paid",IF(H83=0,"Current",IF(H83&lt;=30,"1-30",IF(H83&lt;=60,"31-60",IF(H83&lt;=90,"61-90","91+")))))</x:f>
        <x:v>1-30</x:v>
      </x:c>
      <x:c r="J83" s="2" t="n">
        <x:f>IF(G83=0,0,IF(H83=0,1,IF(H83&lt;=30,2,IF(H83&lt;=60,3,IF(H83&lt;=90,4,5)))))</x:f>
        <x:v>2</x:v>
      </x:c>
      <x:c r="K83" s="2" t="str">
        <x:f>'Invoices'!F83</x:f>
        <x:v>No</x:v>
      </x:c>
      <x:c r="L83" s="10" t="n">
        <x:f>'Start Here'!$B$5</x:f>
        <x:v>46295</x:v>
      </x:c>
    </x:row>
    <x:row r="84" ht="23" customHeight="1">
      <x:c r="A84" s="2" t="str">
        <x:f>'Invoices'!A84</x:f>
        <x:v>INV00080</x:v>
      </x:c>
      <x:c r="B84" s="2" t="str">
        <x:f>'Invoices'!B84</x:f>
        <x:v>C027</x:v>
      </x:c>
      <x:c r="C84" s="10" t="n">
        <x:f>'Invoices'!C84</x:f>
        <x:v>46025</x:v>
      </x:c>
      <x:c r="D84" s="10" t="n">
        <x:f>'Invoices'!D84</x:f>
        <x:v>46040</x:v>
      </x:c>
      <x:c r="E84" s="11" t="n">
        <x:f>'Invoices'!E84</x:f>
        <x:v>19162.51</x:v>
      </x:c>
      <x:c r="F84" s="11" t="n">
        <x:f>SUMIFS('Payments'!$E$5:$E$429,'Payments'!$B$5:$B$429,A84,'Payments'!$D$5:$D$429,"&lt;="&amp;'Start Here'!$B$5)</x:f>
        <x:v>19162.51</x:v>
      </x:c>
      <x:c r="G84" s="11" t="n">
        <x:f>ROUND(E84-F84,2)</x:f>
        <x:v>0</x:v>
      </x:c>
      <x:c r="H84" s="2" t="n">
        <x:f>IF(G84&gt;0,MAX(0,'Start Here'!$B$5-D84),0)</x:f>
        <x:v>0</x:v>
      </x:c>
      <x:c r="I84" s="2" t="str">
        <x:f>IF(G84=0,"Paid",IF(H84=0,"Current",IF(H84&lt;=30,"1-30",IF(H84&lt;=60,"31-60",IF(H84&lt;=90,"61-90","91+")))))</x:f>
        <x:v>Paid</x:v>
      </x:c>
      <x:c r="J84" s="2" t="n">
        <x:f>IF(G84=0,0,IF(H84=0,1,IF(H84&lt;=30,2,IF(H84&lt;=60,3,IF(H84&lt;=90,4,5)))))</x:f>
        <x:v>0</x:v>
      </x:c>
      <x:c r="K84" s="2" t="str">
        <x:f>'Invoices'!F84</x:f>
        <x:v>No</x:v>
      </x:c>
      <x:c r="L84" s="10" t="n">
        <x:f>'Start Here'!$B$5</x:f>
        <x:v>46295</x:v>
      </x:c>
    </x:row>
    <x:row r="85" ht="23" customHeight="1">
      <x:c r="A85" s="2" t="str">
        <x:f>'Invoices'!A85</x:f>
        <x:v>INV00081</x:v>
      </x:c>
      <x:c r="B85" s="2" t="str">
        <x:f>'Invoices'!B85</x:f>
        <x:v>C035</x:v>
      </x:c>
      <x:c r="C85" s="10" t="n">
        <x:f>'Invoices'!C85</x:f>
        <x:v>46083</x:v>
      </x:c>
      <x:c r="D85" s="10" t="n">
        <x:f>'Invoices'!D85</x:f>
        <x:v>46128</x:v>
      </x:c>
      <x:c r="E85" s="11" t="n">
        <x:f>'Invoices'!E85</x:f>
        <x:v>2467.93</x:v>
      </x:c>
      <x:c r="F85" s="11" t="n">
        <x:f>SUMIFS('Payments'!$E$5:$E$429,'Payments'!$B$5:$B$429,A85,'Payments'!$D$5:$D$429,"&lt;="&amp;'Start Here'!$B$5)</x:f>
        <x:v>2467.93</x:v>
      </x:c>
      <x:c r="G85" s="11" t="n">
        <x:f>ROUND(E85-F85,2)</x:f>
        <x:v>0</x:v>
      </x:c>
      <x:c r="H85" s="2" t="n">
        <x:f>IF(G85&gt;0,MAX(0,'Start Here'!$B$5-D85),0)</x:f>
        <x:v>0</x:v>
      </x:c>
      <x:c r="I85" s="2" t="str">
        <x:f>IF(G85=0,"Paid",IF(H85=0,"Current",IF(H85&lt;=30,"1-30",IF(H85&lt;=60,"31-60",IF(H85&lt;=90,"61-90","91+")))))</x:f>
        <x:v>Paid</x:v>
      </x:c>
      <x:c r="J85" s="2" t="n">
        <x:f>IF(G85=0,0,IF(H85=0,1,IF(H85&lt;=30,2,IF(H85&lt;=60,3,IF(H85&lt;=90,4,5)))))</x:f>
        <x:v>0</x:v>
      </x:c>
      <x:c r="K85" s="2" t="str">
        <x:f>'Invoices'!F85</x:f>
        <x:v>No</x:v>
      </x:c>
      <x:c r="L85" s="10" t="n">
        <x:f>'Start Here'!$B$5</x:f>
        <x:v>46295</x:v>
      </x:c>
    </x:row>
    <x:row r="86" ht="23" customHeight="1">
      <x:c r="A86" s="2" t="str">
        <x:f>'Invoices'!A86</x:f>
        <x:v>INV00082</x:v>
      </x:c>
      <x:c r="B86" s="2" t="str">
        <x:f>'Invoices'!B86</x:f>
        <x:v>C035</x:v>
      </x:c>
      <x:c r="C86" s="10" t="n">
        <x:f>'Invoices'!C86</x:f>
        <x:v>46124</x:v>
      </x:c>
      <x:c r="D86" s="10" t="n">
        <x:f>'Invoices'!D86</x:f>
        <x:v>46169</x:v>
      </x:c>
      <x:c r="E86" s="11" t="n">
        <x:f>'Invoices'!E86</x:f>
        <x:v>7347.92</x:v>
      </x:c>
      <x:c r="F86" s="11" t="n">
        <x:f>SUMIFS('Payments'!$E$5:$E$429,'Payments'!$B$5:$B$429,A86,'Payments'!$D$5:$D$429,"&lt;="&amp;'Start Here'!$B$5)</x:f>
        <x:v>7347.92</x:v>
      </x:c>
      <x:c r="G86" s="11" t="n">
        <x:f>ROUND(E86-F86,2)</x:f>
        <x:v>0</x:v>
      </x:c>
      <x:c r="H86" s="2" t="n">
        <x:f>IF(G86&gt;0,MAX(0,'Start Here'!$B$5-D86),0)</x:f>
        <x:v>0</x:v>
      </x:c>
      <x:c r="I86" s="2" t="str">
        <x:f>IF(G86=0,"Paid",IF(H86=0,"Current",IF(H86&lt;=30,"1-30",IF(H86&lt;=60,"31-60",IF(H86&lt;=90,"61-90","91+")))))</x:f>
        <x:v>Paid</x:v>
      </x:c>
      <x:c r="J86" s="2" t="n">
        <x:f>IF(G86=0,0,IF(H86=0,1,IF(H86&lt;=30,2,IF(H86&lt;=60,3,IF(H86&lt;=90,4,5)))))</x:f>
        <x:v>0</x:v>
      </x:c>
      <x:c r="K86" s="2" t="str">
        <x:f>'Invoices'!F86</x:f>
        <x:v>No</x:v>
      </x:c>
      <x:c r="L86" s="10" t="n">
        <x:f>'Start Here'!$B$5</x:f>
        <x:v>46295</x:v>
      </x:c>
    </x:row>
    <x:row r="87" ht="23" customHeight="1">
      <x:c r="A87" s="2" t="str">
        <x:f>'Invoices'!A87</x:f>
        <x:v>INV00083</x:v>
      </x:c>
      <x:c r="B87" s="2" t="str">
        <x:f>'Invoices'!B87</x:f>
        <x:v>C031</x:v>
      </x:c>
      <x:c r="C87" s="10" t="n">
        <x:f>'Invoices'!C87</x:f>
        <x:v>46136</x:v>
      </x:c>
      <x:c r="D87" s="10" t="n">
        <x:f>'Invoices'!D87</x:f>
        <x:v>46166</x:v>
      </x:c>
      <x:c r="E87" s="11" t="n">
        <x:f>'Invoices'!E87</x:f>
        <x:v>3465.49</x:v>
      </x:c>
      <x:c r="F87" s="11" t="n">
        <x:f>SUMIFS('Payments'!$E$5:$E$429,'Payments'!$B$5:$B$429,A87,'Payments'!$D$5:$D$429,"&lt;="&amp;'Start Here'!$B$5)</x:f>
        <x:v>3465.4900000000002</x:v>
      </x:c>
      <x:c r="G87" s="11" t="n">
        <x:f>ROUND(E87-F87,2)</x:f>
        <x:v>0</x:v>
      </x:c>
      <x:c r="H87" s="2" t="n">
        <x:f>IF(G87&gt;0,MAX(0,'Start Here'!$B$5-D87),0)</x:f>
        <x:v>0</x:v>
      </x:c>
      <x:c r="I87" s="2" t="str">
        <x:f>IF(G87=0,"Paid",IF(H87=0,"Current",IF(H87&lt;=30,"1-30",IF(H87&lt;=60,"31-60",IF(H87&lt;=90,"61-90","91+")))))</x:f>
        <x:v>Paid</x:v>
      </x:c>
      <x:c r="J87" s="2" t="n">
        <x:f>IF(G87=0,0,IF(H87=0,1,IF(H87&lt;=30,2,IF(H87&lt;=60,3,IF(H87&lt;=90,4,5)))))</x:f>
        <x:v>0</x:v>
      </x:c>
      <x:c r="K87" s="2" t="str">
        <x:f>'Invoices'!F87</x:f>
        <x:v>No</x:v>
      </x:c>
      <x:c r="L87" s="10" t="n">
        <x:f>'Start Here'!$B$5</x:f>
        <x:v>46295</x:v>
      </x:c>
    </x:row>
    <x:row r="88" ht="23" customHeight="1">
      <x:c r="A88" s="2" t="str">
        <x:f>'Invoices'!A88</x:f>
        <x:v>INV00084</x:v>
      </x:c>
      <x:c r="B88" s="2" t="str">
        <x:f>'Invoices'!B88</x:f>
        <x:v>C008</x:v>
      </x:c>
      <x:c r="C88" s="10" t="n">
        <x:f>'Invoices'!C88</x:f>
        <x:v>46243</x:v>
      </x:c>
      <x:c r="D88" s="10" t="n">
        <x:f>'Invoices'!D88</x:f>
        <x:v>46273</x:v>
      </x:c>
      <x:c r="E88" s="11" t="n">
        <x:f>'Invoices'!E88</x:f>
        <x:v>4665.95</x:v>
      </x:c>
      <x:c r="F88" s="11" t="n">
        <x:f>SUMIFS('Payments'!$E$5:$E$429,'Payments'!$B$5:$B$429,A88,'Payments'!$D$5:$D$429,"&lt;="&amp;'Start Here'!$B$5)</x:f>
        <x:v>4665.95</x:v>
      </x:c>
      <x:c r="G88" s="11" t="n">
        <x:f>ROUND(E88-F88,2)</x:f>
        <x:v>0</x:v>
      </x:c>
      <x:c r="H88" s="2" t="n">
        <x:f>IF(G88&gt;0,MAX(0,'Start Here'!$B$5-D88),0)</x:f>
        <x:v>0</x:v>
      </x:c>
      <x:c r="I88" s="2" t="str">
        <x:f>IF(G88=0,"Paid",IF(H88=0,"Current",IF(H88&lt;=30,"1-30",IF(H88&lt;=60,"31-60",IF(H88&lt;=90,"61-90","91+")))))</x:f>
        <x:v>Paid</x:v>
      </x:c>
      <x:c r="J88" s="2" t="n">
        <x:f>IF(G88=0,0,IF(H88=0,1,IF(H88&lt;=30,2,IF(H88&lt;=60,3,IF(H88&lt;=90,4,5)))))</x:f>
        <x:v>0</x:v>
      </x:c>
      <x:c r="K88" s="2" t="str">
        <x:f>'Invoices'!F88</x:f>
        <x:v>No</x:v>
      </x:c>
      <x:c r="L88" s="10" t="n">
        <x:f>'Start Here'!$B$5</x:f>
        <x:v>46295</x:v>
      </x:c>
    </x:row>
    <x:row r="89" ht="23" customHeight="1">
      <x:c r="A89" s="2" t="str">
        <x:f>'Invoices'!A89</x:f>
        <x:v>INV00085</x:v>
      </x:c>
      <x:c r="B89" s="2" t="str">
        <x:f>'Invoices'!B89</x:f>
        <x:v>C022</x:v>
      </x:c>
      <x:c r="C89" s="10" t="n">
        <x:f>'Invoices'!C89</x:f>
        <x:v>46254</x:v>
      </x:c>
      <x:c r="D89" s="10" t="n">
        <x:f>'Invoices'!D89</x:f>
        <x:v>46269</x:v>
      </x:c>
      <x:c r="E89" s="11" t="n">
        <x:f>'Invoices'!E89</x:f>
        <x:v>18802.86</x:v>
      </x:c>
      <x:c r="F89" s="11" t="n">
        <x:f>SUMIFS('Payments'!$E$5:$E$429,'Payments'!$B$5:$B$429,A89,'Payments'!$D$5:$D$429,"&lt;="&amp;'Start Here'!$B$5)</x:f>
        <x:v>18802.86</x:v>
      </x:c>
      <x:c r="G89" s="11" t="n">
        <x:f>ROUND(E89-F89,2)</x:f>
        <x:v>0</x:v>
      </x:c>
      <x:c r="H89" s="2" t="n">
        <x:f>IF(G89&gt;0,MAX(0,'Start Here'!$B$5-D89),0)</x:f>
        <x:v>0</x:v>
      </x:c>
      <x:c r="I89" s="2" t="str">
        <x:f>IF(G89=0,"Paid",IF(H89=0,"Current",IF(H89&lt;=30,"1-30",IF(H89&lt;=60,"31-60",IF(H89&lt;=90,"61-90","91+")))))</x:f>
        <x:v>Paid</x:v>
      </x:c>
      <x:c r="J89" s="2" t="n">
        <x:f>IF(G89=0,0,IF(H89=0,1,IF(H89&lt;=30,2,IF(H89&lt;=60,3,IF(H89&lt;=90,4,5)))))</x:f>
        <x:v>0</x:v>
      </x:c>
      <x:c r="K89" s="2" t="str">
        <x:f>'Invoices'!F89</x:f>
        <x:v>No</x:v>
      </x:c>
      <x:c r="L89" s="10" t="n">
        <x:f>'Start Here'!$B$5</x:f>
        <x:v>46295</x:v>
      </x:c>
    </x:row>
    <x:row r="90" ht="23" customHeight="1">
      <x:c r="A90" s="2" t="str">
        <x:f>'Invoices'!A90</x:f>
        <x:v>INV00086</x:v>
      </x:c>
      <x:c r="B90" s="2" t="str">
        <x:f>'Invoices'!B90</x:f>
        <x:v>C032</x:v>
      </x:c>
      <x:c r="C90" s="10" t="n">
        <x:f>'Invoices'!C90</x:f>
        <x:v>46242</x:v>
      </x:c>
      <x:c r="D90" s="10" t="n">
        <x:f>'Invoices'!D90</x:f>
        <x:v>46287</x:v>
      </x:c>
      <x:c r="E90" s="11" t="n">
        <x:f>'Invoices'!E90</x:f>
        <x:v>4631.42</x:v>
      </x:c>
      <x:c r="F90" s="11" t="n">
        <x:f>SUMIFS('Payments'!$E$5:$E$429,'Payments'!$B$5:$B$429,A90,'Payments'!$D$5:$D$429,"&lt;="&amp;'Start Here'!$B$5)</x:f>
        <x:v>4631.42</x:v>
      </x:c>
      <x:c r="G90" s="11" t="n">
        <x:f>ROUND(E90-F90,2)</x:f>
        <x:v>0</x:v>
      </x:c>
      <x:c r="H90" s="2" t="n">
        <x:f>IF(G90&gt;0,MAX(0,'Start Here'!$B$5-D90),0)</x:f>
        <x:v>0</x:v>
      </x:c>
      <x:c r="I90" s="2" t="str">
        <x:f>IF(G90=0,"Paid",IF(H90=0,"Current",IF(H90&lt;=30,"1-30",IF(H90&lt;=60,"31-60",IF(H90&lt;=90,"61-90","91+")))))</x:f>
        <x:v>Paid</x:v>
      </x:c>
      <x:c r="J90" s="2" t="n">
        <x:f>IF(G90=0,0,IF(H90=0,1,IF(H90&lt;=30,2,IF(H90&lt;=60,3,IF(H90&lt;=90,4,5)))))</x:f>
        <x:v>0</x:v>
      </x:c>
      <x:c r="K90" s="2" t="str">
        <x:f>'Invoices'!F90</x:f>
        <x:v>No</x:v>
      </x:c>
      <x:c r="L90" s="10" t="n">
        <x:f>'Start Here'!$B$5</x:f>
        <x:v>46295</x:v>
      </x:c>
    </x:row>
    <x:row r="91" ht="23" customHeight="1">
      <x:c r="A91" s="2" t="str">
        <x:f>'Invoices'!A91</x:f>
        <x:v>INV00087</x:v>
      </x:c>
      <x:c r="B91" s="2" t="str">
        <x:f>'Invoices'!B91</x:f>
        <x:v>C014</x:v>
      </x:c>
      <x:c r="C91" s="10" t="n">
        <x:f>'Invoices'!C91</x:f>
        <x:v>46202</x:v>
      </x:c>
      <x:c r="D91" s="10" t="n">
        <x:f>'Invoices'!D91</x:f>
        <x:v>46262</x:v>
      </x:c>
      <x:c r="E91" s="11" t="n">
        <x:f>'Invoices'!E91</x:f>
        <x:v>14796.43</x:v>
      </x:c>
      <x:c r="F91" s="11" t="n">
        <x:f>SUMIFS('Payments'!$E$5:$E$429,'Payments'!$B$5:$B$429,A91,'Payments'!$D$5:$D$429,"&lt;="&amp;'Start Here'!$B$5)</x:f>
        <x:v>8877.86</x:v>
      </x:c>
      <x:c r="G91" s="11" t="n">
        <x:f>ROUND(E91-F91,2)</x:f>
        <x:v>5918.57</x:v>
      </x:c>
      <x:c r="H91" s="2" t="n">
        <x:f>IF(G91&gt;0,MAX(0,'Start Here'!$B$5-D91),0)</x:f>
        <x:v>33</x:v>
      </x:c>
      <x:c r="I91" s="2" t="str">
        <x:f>IF(G91=0,"Paid",IF(H91=0,"Current",IF(H91&lt;=30,"1-30",IF(H91&lt;=60,"31-60",IF(H91&lt;=90,"61-90","91+")))))</x:f>
        <x:v>31-60</x:v>
      </x:c>
      <x:c r="J91" s="2" t="n">
        <x:f>IF(G91=0,0,IF(H91=0,1,IF(H91&lt;=30,2,IF(H91&lt;=60,3,IF(H91&lt;=90,4,5)))))</x:f>
        <x:v>3</x:v>
      </x:c>
      <x:c r="K91" s="2" t="str">
        <x:f>'Invoices'!F91</x:f>
        <x:v>No</x:v>
      </x:c>
      <x:c r="L91" s="10" t="n">
        <x:f>'Start Here'!$B$5</x:f>
        <x:v>46295</x:v>
      </x:c>
    </x:row>
    <x:row r="92" ht="23" customHeight="1">
      <x:c r="A92" s="2" t="str">
        <x:f>'Invoices'!A92</x:f>
        <x:v>INV00088</x:v>
      </x:c>
      <x:c r="B92" s="2" t="str">
        <x:f>'Invoices'!B92</x:f>
        <x:v>C026</x:v>
      </x:c>
      <x:c r="C92" s="10" t="n">
        <x:f>'Invoices'!C92</x:f>
        <x:v>46150</x:v>
      </x:c>
      <x:c r="D92" s="10" t="n">
        <x:f>'Invoices'!D92</x:f>
        <x:v>46180</x:v>
      </x:c>
      <x:c r="E92" s="11" t="n">
        <x:f>'Invoices'!E92</x:f>
        <x:v>11586.22</x:v>
      </x:c>
      <x:c r="F92" s="11" t="n">
        <x:f>SUMIFS('Payments'!$E$5:$E$429,'Payments'!$B$5:$B$429,A92,'Payments'!$D$5:$D$429,"&lt;="&amp;'Start Here'!$B$5)</x:f>
        <x:v>11586.22</x:v>
      </x:c>
      <x:c r="G92" s="11" t="n">
        <x:f>ROUND(E92-F92,2)</x:f>
        <x:v>0</x:v>
      </x:c>
      <x:c r="H92" s="2" t="n">
        <x:f>IF(G92&gt;0,MAX(0,'Start Here'!$B$5-D92),0)</x:f>
        <x:v>0</x:v>
      </x:c>
      <x:c r="I92" s="2" t="str">
        <x:f>IF(G92=0,"Paid",IF(H92=0,"Current",IF(H92&lt;=30,"1-30",IF(H92&lt;=60,"31-60",IF(H92&lt;=90,"61-90","91+")))))</x:f>
        <x:v>Paid</x:v>
      </x:c>
      <x:c r="J92" s="2" t="n">
        <x:f>IF(G92=0,0,IF(H92=0,1,IF(H92&lt;=30,2,IF(H92&lt;=60,3,IF(H92&lt;=90,4,5)))))</x:f>
        <x:v>0</x:v>
      </x:c>
      <x:c r="K92" s="2" t="str">
        <x:f>'Invoices'!F92</x:f>
        <x:v>No</x:v>
      </x:c>
      <x:c r="L92" s="10" t="n">
        <x:f>'Start Here'!$B$5</x:f>
        <x:v>46295</x:v>
      </x:c>
    </x:row>
    <x:row r="93" ht="23" customHeight="1">
      <x:c r="A93" s="2" t="str">
        <x:f>'Invoices'!A93</x:f>
        <x:v>INV00089</x:v>
      </x:c>
      <x:c r="B93" s="2" t="str">
        <x:f>'Invoices'!B93</x:f>
        <x:v>C010</x:v>
      </x:c>
      <x:c r="C93" s="10" t="n">
        <x:f>'Invoices'!C93</x:f>
        <x:v>46106</x:v>
      </x:c>
      <x:c r="D93" s="10" t="n">
        <x:f>'Invoices'!D93</x:f>
        <x:v>46136</x:v>
      </x:c>
      <x:c r="E93" s="11" t="n">
        <x:f>'Invoices'!E93</x:f>
        <x:v>16233.92</x:v>
      </x:c>
      <x:c r="F93" s="11" t="n">
        <x:f>SUMIFS('Payments'!$E$5:$E$429,'Payments'!$B$5:$B$429,A93,'Payments'!$D$5:$D$429,"&lt;="&amp;'Start Here'!$B$5)</x:f>
        <x:v>0</x:v>
      </x:c>
      <x:c r="G93" s="11" t="n">
        <x:f>ROUND(E93-F93,2)</x:f>
        <x:v>16233.92</x:v>
      </x:c>
      <x:c r="H93" s="2" t="n">
        <x:f>IF(G93&gt;0,MAX(0,'Start Here'!$B$5-D93),0)</x:f>
        <x:v>159</x:v>
      </x:c>
      <x:c r="I93" s="2" t="str">
        <x:f>IF(G93=0,"Paid",IF(H93=0,"Current",IF(H93&lt;=30,"1-30",IF(H93&lt;=60,"31-60",IF(H93&lt;=90,"61-90","91+")))))</x:f>
        <x:v>91+</x:v>
      </x:c>
      <x:c r="J93" s="2" t="n">
        <x:f>IF(G93=0,0,IF(H93=0,1,IF(H93&lt;=30,2,IF(H93&lt;=60,3,IF(H93&lt;=90,4,5)))))</x:f>
        <x:v>5</x:v>
      </x:c>
      <x:c r="K93" s="2" t="str">
        <x:f>'Invoices'!F93</x:f>
        <x:v>No</x:v>
      </x:c>
      <x:c r="L93" s="10" t="n">
        <x:f>'Start Here'!$B$5</x:f>
        <x:v>46295</x:v>
      </x:c>
    </x:row>
    <x:row r="94" ht="23" customHeight="1">
      <x:c r="A94" s="2" t="str">
        <x:f>'Invoices'!A94</x:f>
        <x:v>INV00090</x:v>
      </x:c>
      <x:c r="B94" s="2" t="str">
        <x:f>'Invoices'!B94</x:f>
        <x:v>C013</x:v>
      </x:c>
      <x:c r="C94" s="10" t="n">
        <x:f>'Invoices'!C94</x:f>
        <x:v>46057</x:v>
      </x:c>
      <x:c r="D94" s="10" t="n">
        <x:f>'Invoices'!D94</x:f>
        <x:v>46117</x:v>
      </x:c>
      <x:c r="E94" s="11" t="n">
        <x:f>'Invoices'!E94</x:f>
        <x:v>17472.87</x:v>
      </x:c>
      <x:c r="F94" s="11" t="n">
        <x:f>SUMIFS('Payments'!$E$5:$E$429,'Payments'!$B$5:$B$429,A94,'Payments'!$D$5:$D$429,"&lt;="&amp;'Start Here'!$B$5)</x:f>
        <x:v>17472.87</x:v>
      </x:c>
      <x:c r="G94" s="11" t="n">
        <x:f>ROUND(E94-F94,2)</x:f>
        <x:v>0</x:v>
      </x:c>
      <x:c r="H94" s="2" t="n">
        <x:f>IF(G94&gt;0,MAX(0,'Start Here'!$B$5-D94),0)</x:f>
        <x:v>0</x:v>
      </x:c>
      <x:c r="I94" s="2" t="str">
        <x:f>IF(G94=0,"Paid",IF(H94=0,"Current",IF(H94&lt;=30,"1-30",IF(H94&lt;=60,"31-60",IF(H94&lt;=90,"61-90","91+")))))</x:f>
        <x:v>Paid</x:v>
      </x:c>
      <x:c r="J94" s="2" t="n">
        <x:f>IF(G94=0,0,IF(H94=0,1,IF(H94&lt;=30,2,IF(H94&lt;=60,3,IF(H94&lt;=90,4,5)))))</x:f>
        <x:v>0</x:v>
      </x:c>
      <x:c r="K94" s="2" t="str">
        <x:f>'Invoices'!F94</x:f>
        <x:v>No</x:v>
      </x:c>
      <x:c r="L94" s="10" t="n">
        <x:f>'Start Here'!$B$5</x:f>
        <x:v>46295</x:v>
      </x:c>
    </x:row>
    <x:row r="95" ht="23" customHeight="1">
      <x:c r="A95" s="2" t="str">
        <x:f>'Invoices'!A95</x:f>
        <x:v>INV00091</x:v>
      </x:c>
      <x:c r="B95" s="2" t="str">
        <x:f>'Invoices'!B95</x:f>
        <x:v>C018</x:v>
      </x:c>
      <x:c r="C95" s="10" t="n">
        <x:f>'Invoices'!C95</x:f>
        <x:v>46295</x:v>
      </x:c>
      <x:c r="D95" s="10" t="n">
        <x:f>'Invoices'!D95</x:f>
        <x:v>46310</x:v>
      </x:c>
      <x:c r="E95" s="11" t="n">
        <x:f>'Invoices'!E95</x:f>
        <x:v>5457.21</x:v>
      </x:c>
      <x:c r="F95" s="11" t="n">
        <x:f>SUMIFS('Payments'!$E$5:$E$429,'Payments'!$B$5:$B$429,A95,'Payments'!$D$5:$D$429,"&lt;="&amp;'Start Here'!$B$5)</x:f>
        <x:v>0</x:v>
      </x:c>
      <x:c r="G95" s="11" t="n">
        <x:f>ROUND(E95-F95,2)</x:f>
        <x:v>5457.21</x:v>
      </x:c>
      <x:c r="H95" s="2" t="n">
        <x:f>IF(G95&gt;0,MAX(0,'Start Here'!$B$5-D95),0)</x:f>
        <x:v>0</x:v>
      </x:c>
      <x:c r="I95" s="2" t="str">
        <x:f>IF(G95=0,"Paid",IF(H95=0,"Current",IF(H95&lt;=30,"1-30",IF(H95&lt;=60,"31-60",IF(H95&lt;=90,"61-90","91+")))))</x:f>
        <x:v>Current</x:v>
      </x:c>
      <x:c r="J95" s="2" t="n">
        <x:f>IF(G95=0,0,IF(H95=0,1,IF(H95&lt;=30,2,IF(H95&lt;=60,3,IF(H95&lt;=90,4,5)))))</x:f>
        <x:v>1</x:v>
      </x:c>
      <x:c r="K95" s="2" t="str">
        <x:f>'Invoices'!F95</x:f>
        <x:v>No</x:v>
      </x:c>
      <x:c r="L95" s="10" t="n">
        <x:f>'Start Here'!$B$5</x:f>
        <x:v>46295</x:v>
      </x:c>
    </x:row>
    <x:row r="96" ht="23" customHeight="1">
      <x:c r="A96" s="2" t="str">
        <x:f>'Invoices'!A96</x:f>
        <x:v>INV00092</x:v>
      </x:c>
      <x:c r="B96" s="2" t="str">
        <x:f>'Invoices'!B96</x:f>
        <x:v>C036</x:v>
      </x:c>
      <x:c r="C96" s="10" t="n">
        <x:f>'Invoices'!C96</x:f>
        <x:v>46267</x:v>
      </x:c>
      <x:c r="D96" s="10" t="n">
        <x:f>'Invoices'!D96</x:f>
        <x:v>46327</x:v>
      </x:c>
      <x:c r="E96" s="11" t="n">
        <x:f>'Invoices'!E96</x:f>
        <x:v>2545.19</x:v>
      </x:c>
      <x:c r="F96" s="11" t="n">
        <x:f>SUMIFS('Payments'!$E$5:$E$429,'Payments'!$B$5:$B$429,A96,'Payments'!$D$5:$D$429,"&lt;="&amp;'Start Here'!$B$5)</x:f>
        <x:v>0</x:v>
      </x:c>
      <x:c r="G96" s="11" t="n">
        <x:f>ROUND(E96-F96,2)</x:f>
        <x:v>2545.19</x:v>
      </x:c>
      <x:c r="H96" s="2" t="n">
        <x:f>IF(G96&gt;0,MAX(0,'Start Here'!$B$5-D96),0)</x:f>
        <x:v>0</x:v>
      </x:c>
      <x:c r="I96" s="2" t="str">
        <x:f>IF(G96=0,"Paid",IF(H96=0,"Current",IF(H96&lt;=30,"1-30",IF(H96&lt;=60,"31-60",IF(H96&lt;=90,"61-90","91+")))))</x:f>
        <x:v>Current</x:v>
      </x:c>
      <x:c r="J96" s="2" t="n">
        <x:f>IF(G96=0,0,IF(H96=0,1,IF(H96&lt;=30,2,IF(H96&lt;=60,3,IF(H96&lt;=90,4,5)))))</x:f>
        <x:v>1</x:v>
      </x:c>
      <x:c r="K96" s="2" t="str">
        <x:f>'Invoices'!F96</x:f>
        <x:v>No</x:v>
      </x:c>
      <x:c r="L96" s="10" t="n">
        <x:f>'Start Here'!$B$5</x:f>
        <x:v>46295</x:v>
      </x:c>
    </x:row>
    <x:row r="97" ht="23" customHeight="1">
      <x:c r="A97" s="2" t="str">
        <x:f>'Invoices'!A97</x:f>
        <x:v>INV00093</x:v>
      </x:c>
      <x:c r="B97" s="2" t="str">
        <x:f>'Invoices'!B97</x:f>
        <x:v>C008</x:v>
      </x:c>
      <x:c r="C97" s="10" t="n">
        <x:f>'Invoices'!C97</x:f>
        <x:v>46203</x:v>
      </x:c>
      <x:c r="D97" s="10" t="n">
        <x:f>'Invoices'!D97</x:f>
        <x:v>46248</x:v>
      </x:c>
      <x:c r="E97" s="11" t="n">
        <x:f>'Invoices'!E97</x:f>
        <x:v>14175.22</x:v>
      </x:c>
      <x:c r="F97" s="11" t="n">
        <x:f>SUMIFS('Payments'!$E$5:$E$429,'Payments'!$B$5:$B$429,A97,'Payments'!$D$5:$D$429,"&lt;="&amp;'Start Here'!$B$5)</x:f>
        <x:v>14175.22</x:v>
      </x:c>
      <x:c r="G97" s="11" t="n">
        <x:f>ROUND(E97-F97,2)</x:f>
        <x:v>0</x:v>
      </x:c>
      <x:c r="H97" s="2" t="n">
        <x:f>IF(G97&gt;0,MAX(0,'Start Here'!$B$5-D97),0)</x:f>
        <x:v>0</x:v>
      </x:c>
      <x:c r="I97" s="2" t="str">
        <x:f>IF(G97=0,"Paid",IF(H97=0,"Current",IF(H97&lt;=30,"1-30",IF(H97&lt;=60,"31-60",IF(H97&lt;=90,"61-90","91+")))))</x:f>
        <x:v>Paid</x:v>
      </x:c>
      <x:c r="J97" s="2" t="n">
        <x:f>IF(G97=0,0,IF(H97=0,1,IF(H97&lt;=30,2,IF(H97&lt;=60,3,IF(H97&lt;=90,4,5)))))</x:f>
        <x:v>0</x:v>
      </x:c>
      <x:c r="K97" s="2" t="str">
        <x:f>'Invoices'!F97</x:f>
        <x:v>No</x:v>
      </x:c>
      <x:c r="L97" s="10" t="n">
        <x:f>'Start Here'!$B$5</x:f>
        <x:v>46295</x:v>
      </x:c>
    </x:row>
    <x:row r="98" ht="23" customHeight="1">
      <x:c r="A98" s="2" t="str">
        <x:f>'Invoices'!A98</x:f>
        <x:v>INV00094</x:v>
      </x:c>
      <x:c r="B98" s="2" t="str">
        <x:f>'Invoices'!B98</x:f>
        <x:v>C004</x:v>
      </x:c>
      <x:c r="C98" s="10" t="n">
        <x:f>'Invoices'!C98</x:f>
        <x:v>46102</x:v>
      </x:c>
      <x:c r="D98" s="10" t="n">
        <x:f>'Invoices'!D98</x:f>
        <x:v>46132</x:v>
      </x:c>
      <x:c r="E98" s="11" t="n">
        <x:f>'Invoices'!E98</x:f>
        <x:v>3438.67</x:v>
      </x:c>
      <x:c r="F98" s="11" t="n">
        <x:f>SUMIFS('Payments'!$E$5:$E$429,'Payments'!$B$5:$B$429,A98,'Payments'!$D$5:$D$429,"&lt;="&amp;'Start Here'!$B$5)</x:f>
        <x:v>3438.67</x:v>
      </x:c>
      <x:c r="G98" s="11" t="n">
        <x:f>ROUND(E98-F98,2)</x:f>
        <x:v>0</x:v>
      </x:c>
      <x:c r="H98" s="2" t="n">
        <x:f>IF(G98&gt;0,MAX(0,'Start Here'!$B$5-D98),0)</x:f>
        <x:v>0</x:v>
      </x:c>
      <x:c r="I98" s="2" t="str">
        <x:f>IF(G98=0,"Paid",IF(H98=0,"Current",IF(H98&lt;=30,"1-30",IF(H98&lt;=60,"31-60",IF(H98&lt;=90,"61-90","91+")))))</x:f>
        <x:v>Paid</x:v>
      </x:c>
      <x:c r="J98" s="2" t="n">
        <x:f>IF(G98=0,0,IF(H98=0,1,IF(H98&lt;=30,2,IF(H98&lt;=60,3,IF(H98&lt;=90,4,5)))))</x:f>
        <x:v>0</x:v>
      </x:c>
      <x:c r="K98" s="2" t="str">
        <x:f>'Invoices'!F98</x:f>
        <x:v>No</x:v>
      </x:c>
      <x:c r="L98" s="10" t="n">
        <x:f>'Start Here'!$B$5</x:f>
        <x:v>46295</x:v>
      </x:c>
    </x:row>
    <x:row r="99" ht="23" customHeight="1">
      <x:c r="A99" s="2" t="str">
        <x:f>'Invoices'!A99</x:f>
        <x:v>INV00095</x:v>
      </x:c>
      <x:c r="B99" s="2" t="str">
        <x:f>'Invoices'!B99</x:f>
        <x:v>C038</x:v>
      </x:c>
      <x:c r="C99" s="10" t="n">
        <x:f>'Invoices'!C99</x:f>
        <x:v>46270</x:v>
      </x:c>
      <x:c r="D99" s="10" t="n">
        <x:f>'Invoices'!D99</x:f>
        <x:v>46315</x:v>
      </x:c>
      <x:c r="E99" s="11" t="n">
        <x:f>'Invoices'!E99</x:f>
        <x:v>11261.07</x:v>
      </x:c>
      <x:c r="F99" s="11" t="n">
        <x:f>SUMIFS('Payments'!$E$5:$E$429,'Payments'!$B$5:$B$429,A99,'Payments'!$D$5:$D$429,"&lt;="&amp;'Start Here'!$B$5)</x:f>
        <x:v>0</x:v>
      </x:c>
      <x:c r="G99" s="11" t="n">
        <x:f>ROUND(E99-F99,2)</x:f>
        <x:v>11261.07</x:v>
      </x:c>
      <x:c r="H99" s="2" t="n">
        <x:f>IF(G99&gt;0,MAX(0,'Start Here'!$B$5-D99),0)</x:f>
        <x:v>0</x:v>
      </x:c>
      <x:c r="I99" s="2" t="str">
        <x:f>IF(G99=0,"Paid",IF(H99=0,"Current",IF(H99&lt;=30,"1-30",IF(H99&lt;=60,"31-60",IF(H99&lt;=90,"61-90","91+")))))</x:f>
        <x:v>Current</x:v>
      </x:c>
      <x:c r="J99" s="2" t="n">
        <x:f>IF(G99=0,0,IF(H99=0,1,IF(H99&lt;=30,2,IF(H99&lt;=60,3,IF(H99&lt;=90,4,5)))))</x:f>
        <x:v>1</x:v>
      </x:c>
      <x:c r="K99" s="2" t="str">
        <x:f>'Invoices'!F99</x:f>
        <x:v>No</x:v>
      </x:c>
      <x:c r="L99" s="10" t="n">
        <x:f>'Start Here'!$B$5</x:f>
        <x:v>46295</x:v>
      </x:c>
    </x:row>
    <x:row r="100" ht="23" customHeight="1">
      <x:c r="A100" s="2" t="str">
        <x:f>'Invoices'!A100</x:f>
        <x:v>INV00096</x:v>
      </x:c>
      <x:c r="B100" s="2" t="str">
        <x:f>'Invoices'!B100</x:f>
        <x:v>C039</x:v>
      </x:c>
      <x:c r="C100" s="10" t="n">
        <x:f>'Invoices'!C100</x:f>
        <x:v>46063</x:v>
      </x:c>
      <x:c r="D100" s="10" t="n">
        <x:f>'Invoices'!D100</x:f>
        <x:v>46093</x:v>
      </x:c>
      <x:c r="E100" s="11" t="n">
        <x:f>'Invoices'!E100</x:f>
        <x:v>1748.27</x:v>
      </x:c>
      <x:c r="F100" s="11" t="n">
        <x:f>SUMIFS('Payments'!$E$5:$E$429,'Payments'!$B$5:$B$429,A100,'Payments'!$D$5:$D$429,"&lt;="&amp;'Start Here'!$B$5)</x:f>
        <x:v>1748.27</x:v>
      </x:c>
      <x:c r="G100" s="11" t="n">
        <x:f>ROUND(E100-F100,2)</x:f>
        <x:v>0</x:v>
      </x:c>
      <x:c r="H100" s="2" t="n">
        <x:f>IF(G100&gt;0,MAX(0,'Start Here'!$B$5-D100),0)</x:f>
        <x:v>0</x:v>
      </x:c>
      <x:c r="I100" s="2" t="str">
        <x:f>IF(G100=0,"Paid",IF(H100=0,"Current",IF(H100&lt;=30,"1-30",IF(H100&lt;=60,"31-60",IF(H100&lt;=90,"61-90","91+")))))</x:f>
        <x:v>Paid</x:v>
      </x:c>
      <x:c r="J100" s="2" t="n">
        <x:f>IF(G100=0,0,IF(H100=0,1,IF(H100&lt;=30,2,IF(H100&lt;=60,3,IF(H100&lt;=90,4,5)))))</x:f>
        <x:v>0</x:v>
      </x:c>
      <x:c r="K100" s="2" t="str">
        <x:f>'Invoices'!F100</x:f>
        <x:v>No</x:v>
      </x:c>
      <x:c r="L100" s="10" t="n">
        <x:f>'Start Here'!$B$5</x:f>
        <x:v>46295</x:v>
      </x:c>
    </x:row>
    <x:row r="101" ht="23" customHeight="1">
      <x:c r="A101" s="2" t="str">
        <x:f>'Invoices'!A101</x:f>
        <x:v>INV00097</x:v>
      </x:c>
      <x:c r="B101" s="2" t="str">
        <x:f>'Invoices'!B101</x:f>
        <x:v>C027</x:v>
      </x:c>
      <x:c r="C101" s="10" t="n">
        <x:f>'Invoices'!C101</x:f>
        <x:v>46048</x:v>
      </x:c>
      <x:c r="D101" s="10" t="n">
        <x:f>'Invoices'!D101</x:f>
        <x:v>46108</x:v>
      </x:c>
      <x:c r="E101" s="11" t="n">
        <x:f>'Invoices'!E101</x:f>
        <x:v>19925.94</x:v>
      </x:c>
      <x:c r="F101" s="11" t="n">
        <x:f>SUMIFS('Payments'!$E$5:$E$429,'Payments'!$B$5:$B$429,A101,'Payments'!$D$5:$D$429,"&lt;="&amp;'Start Here'!$B$5)</x:f>
        <x:v>19925.94</x:v>
      </x:c>
      <x:c r="G101" s="11" t="n">
        <x:f>ROUND(E101-F101,2)</x:f>
        <x:v>0</x:v>
      </x:c>
      <x:c r="H101" s="2" t="n">
        <x:f>IF(G101&gt;0,MAX(0,'Start Here'!$B$5-D101),0)</x:f>
        <x:v>0</x:v>
      </x:c>
      <x:c r="I101" s="2" t="str">
        <x:f>IF(G101=0,"Paid",IF(H101=0,"Current",IF(H101&lt;=30,"1-30",IF(H101&lt;=60,"31-60",IF(H101&lt;=90,"61-90","91+")))))</x:f>
        <x:v>Paid</x:v>
      </x:c>
      <x:c r="J101" s="2" t="n">
        <x:f>IF(G101=0,0,IF(H101=0,1,IF(H101&lt;=30,2,IF(H101&lt;=60,3,IF(H101&lt;=90,4,5)))))</x:f>
        <x:v>0</x:v>
      </x:c>
      <x:c r="K101" s="2" t="str">
        <x:f>'Invoices'!F101</x:f>
        <x:v>No</x:v>
      </x:c>
      <x:c r="L101" s="10" t="n">
        <x:f>'Start Here'!$B$5</x:f>
        <x:v>46295</x:v>
      </x:c>
    </x:row>
    <x:row r="102" ht="23" customHeight="1">
      <x:c r="A102" s="2" t="str">
        <x:f>'Invoices'!A102</x:f>
        <x:v>INV00098</x:v>
      </x:c>
      <x:c r="B102" s="2" t="str">
        <x:f>'Invoices'!B102</x:f>
        <x:v>C032</x:v>
      </x:c>
      <x:c r="C102" s="10" t="n">
        <x:f>'Invoices'!C102</x:f>
        <x:v>46170</x:v>
      </x:c>
      <x:c r="D102" s="10" t="n">
        <x:f>'Invoices'!D102</x:f>
        <x:v>46215</x:v>
      </x:c>
      <x:c r="E102" s="11" t="n">
        <x:f>'Invoices'!E102</x:f>
        <x:v>15200.07</x:v>
      </x:c>
      <x:c r="F102" s="11" t="n">
        <x:f>SUMIFS('Payments'!$E$5:$E$429,'Payments'!$B$5:$B$429,A102,'Payments'!$D$5:$D$429,"&lt;="&amp;'Start Here'!$B$5)</x:f>
        <x:v>0</x:v>
      </x:c>
      <x:c r="G102" s="11" t="n">
        <x:f>ROUND(E102-F102,2)</x:f>
        <x:v>15200.07</x:v>
      </x:c>
      <x:c r="H102" s="2" t="n">
        <x:f>IF(G102&gt;0,MAX(0,'Start Here'!$B$5-D102),0)</x:f>
        <x:v>80</x:v>
      </x:c>
      <x:c r="I102" s="2" t="str">
        <x:f>IF(G102=0,"Paid",IF(H102=0,"Current",IF(H102&lt;=30,"1-30",IF(H102&lt;=60,"31-60",IF(H102&lt;=90,"61-90","91+")))))</x:f>
        <x:v>61-90</x:v>
      </x:c>
      <x:c r="J102" s="2" t="n">
        <x:f>IF(G102=0,0,IF(H102=0,1,IF(H102&lt;=30,2,IF(H102&lt;=60,3,IF(H102&lt;=90,4,5)))))</x:f>
        <x:v>4</x:v>
      </x:c>
      <x:c r="K102" s="2" t="str">
        <x:f>'Invoices'!F102</x:f>
        <x:v>Yes</x:v>
      </x:c>
      <x:c r="L102" s="10" t="n">
        <x:f>'Start Here'!$B$5</x:f>
        <x:v>46295</x:v>
      </x:c>
    </x:row>
    <x:row r="103" ht="23" customHeight="1">
      <x:c r="A103" s="2" t="str">
        <x:f>'Invoices'!A103</x:f>
        <x:v>INV00099</x:v>
      </x:c>
      <x:c r="B103" s="2" t="str">
        <x:f>'Invoices'!B103</x:f>
        <x:v>C013</x:v>
      </x:c>
      <x:c r="C103" s="10" t="n">
        <x:f>'Invoices'!C103</x:f>
        <x:v>46065</x:v>
      </x:c>
      <x:c r="D103" s="10" t="n">
        <x:f>'Invoices'!D103</x:f>
        <x:v>46110</x:v>
      </x:c>
      <x:c r="E103" s="11" t="n">
        <x:f>'Invoices'!E103</x:f>
        <x:v>8988.75</x:v>
      </x:c>
      <x:c r="F103" s="11" t="n">
        <x:f>SUMIFS('Payments'!$E$5:$E$429,'Payments'!$B$5:$B$429,A103,'Payments'!$D$5:$D$429,"&lt;="&amp;'Start Here'!$B$5)</x:f>
        <x:v>8988.75</x:v>
      </x:c>
      <x:c r="G103" s="11" t="n">
        <x:f>ROUND(E103-F103,2)</x:f>
        <x:v>0</x:v>
      </x:c>
      <x:c r="H103" s="2" t="n">
        <x:f>IF(G103&gt;0,MAX(0,'Start Here'!$B$5-D103),0)</x:f>
        <x:v>0</x:v>
      </x:c>
      <x:c r="I103" s="2" t="str">
        <x:f>IF(G103=0,"Paid",IF(H103=0,"Current",IF(H103&lt;=30,"1-30",IF(H103&lt;=60,"31-60",IF(H103&lt;=90,"61-90","91+")))))</x:f>
        <x:v>Paid</x:v>
      </x:c>
      <x:c r="J103" s="2" t="n">
        <x:f>IF(G103=0,0,IF(H103=0,1,IF(H103&lt;=30,2,IF(H103&lt;=60,3,IF(H103&lt;=90,4,5)))))</x:f>
        <x:v>0</x:v>
      </x:c>
      <x:c r="K103" s="2" t="str">
        <x:f>'Invoices'!F103</x:f>
        <x:v>No</x:v>
      </x:c>
      <x:c r="L103" s="10" t="n">
        <x:f>'Start Here'!$B$5</x:f>
        <x:v>46295</x:v>
      </x:c>
    </x:row>
    <x:row r="104" ht="23" customHeight="1">
      <x:c r="A104" s="2" t="str">
        <x:f>'Invoices'!A104</x:f>
        <x:v>INV00100</x:v>
      </x:c>
      <x:c r="B104" s="2" t="str">
        <x:f>'Invoices'!B104</x:f>
        <x:v>C022</x:v>
      </x:c>
      <x:c r="C104" s="10" t="n">
        <x:f>'Invoices'!C104</x:f>
        <x:v>46075</x:v>
      </x:c>
      <x:c r="D104" s="10" t="n">
        <x:f>'Invoices'!D104</x:f>
        <x:v>46090</x:v>
      </x:c>
      <x:c r="E104" s="11" t="n">
        <x:f>'Invoices'!E104</x:f>
        <x:v>6540.7</x:v>
      </x:c>
      <x:c r="F104" s="11" t="n">
        <x:f>SUMIFS('Payments'!$E$5:$E$429,'Payments'!$B$5:$B$429,A104,'Payments'!$D$5:$D$429,"&lt;="&amp;'Start Here'!$B$5)</x:f>
        <x:v>6540.7</x:v>
      </x:c>
      <x:c r="G104" s="11" t="n">
        <x:f>ROUND(E104-F104,2)</x:f>
        <x:v>0</x:v>
      </x:c>
      <x:c r="H104" s="2" t="n">
        <x:f>IF(G104&gt;0,MAX(0,'Start Here'!$B$5-D104),0)</x:f>
        <x:v>0</x:v>
      </x:c>
      <x:c r="I104" s="2" t="str">
        <x:f>IF(G104=0,"Paid",IF(H104=0,"Current",IF(H104&lt;=30,"1-30",IF(H104&lt;=60,"31-60",IF(H104&lt;=90,"61-90","91+")))))</x:f>
        <x:v>Paid</x:v>
      </x:c>
      <x:c r="J104" s="2" t="n">
        <x:f>IF(G104=0,0,IF(H104=0,1,IF(H104&lt;=30,2,IF(H104&lt;=60,3,IF(H104&lt;=90,4,5)))))</x:f>
        <x:v>0</x:v>
      </x:c>
      <x:c r="K104" s="2" t="str">
        <x:f>'Invoices'!F104</x:f>
        <x:v>No</x:v>
      </x:c>
      <x:c r="L104" s="10" t="n">
        <x:f>'Start Here'!$B$5</x:f>
        <x:v>46295</x:v>
      </x:c>
    </x:row>
    <x:row r="105" ht="23" customHeight="1">
      <x:c r="A105" s="2" t="str">
        <x:f>'Invoices'!A105</x:f>
        <x:v>INV00101</x:v>
      </x:c>
      <x:c r="B105" s="2" t="str">
        <x:f>'Invoices'!B105</x:f>
        <x:v>C035</x:v>
      </x:c>
      <x:c r="C105" s="10" t="n">
        <x:f>'Invoices'!C105</x:f>
        <x:v>46277</x:v>
      </x:c>
      <x:c r="D105" s="10" t="n">
        <x:f>'Invoices'!D105</x:f>
        <x:v>46337</x:v>
      </x:c>
      <x:c r="E105" s="11" t="n">
        <x:f>'Invoices'!E105</x:f>
        <x:v>1775.93</x:v>
      </x:c>
      <x:c r="F105" s="11" t="n">
        <x:f>SUMIFS('Payments'!$E$5:$E$429,'Payments'!$B$5:$B$429,A105,'Payments'!$D$5:$D$429,"&lt;="&amp;'Start Here'!$B$5)</x:f>
        <x:v>0</x:v>
      </x:c>
      <x:c r="G105" s="11" t="n">
        <x:f>ROUND(E105-F105,2)</x:f>
        <x:v>1775.93</x:v>
      </x:c>
      <x:c r="H105" s="2" t="n">
        <x:f>IF(G105&gt;0,MAX(0,'Start Here'!$B$5-D105),0)</x:f>
        <x:v>0</x:v>
      </x:c>
      <x:c r="I105" s="2" t="str">
        <x:f>IF(G105=0,"Paid",IF(H105=0,"Current",IF(H105&lt;=30,"1-30",IF(H105&lt;=60,"31-60",IF(H105&lt;=90,"61-90","91+")))))</x:f>
        <x:v>Current</x:v>
      </x:c>
      <x:c r="J105" s="2" t="n">
        <x:f>IF(G105=0,0,IF(H105=0,1,IF(H105&lt;=30,2,IF(H105&lt;=60,3,IF(H105&lt;=90,4,5)))))</x:f>
        <x:v>1</x:v>
      </x:c>
      <x:c r="K105" s="2" t="str">
        <x:f>'Invoices'!F105</x:f>
        <x:v>No</x:v>
      </x:c>
      <x:c r="L105" s="10" t="n">
        <x:f>'Start Here'!$B$5</x:f>
        <x:v>46295</x:v>
      </x:c>
    </x:row>
    <x:row r="106" ht="23" customHeight="1">
      <x:c r="A106" s="2" t="str">
        <x:f>'Invoices'!A106</x:f>
        <x:v>INV00102</x:v>
      </x:c>
      <x:c r="B106" s="2" t="str">
        <x:f>'Invoices'!B106</x:f>
        <x:v>C010</x:v>
      </x:c>
      <x:c r="C106" s="10" t="n">
        <x:f>'Invoices'!C106</x:f>
        <x:v>46206</x:v>
      </x:c>
      <x:c r="D106" s="10" t="n">
        <x:f>'Invoices'!D106</x:f>
        <x:v>46251</x:v>
      </x:c>
      <x:c r="E106" s="11" t="n">
        <x:f>'Invoices'!E106</x:f>
        <x:v>889.5</x:v>
      </x:c>
      <x:c r="F106" s="11" t="n">
        <x:f>SUMIFS('Payments'!$E$5:$E$429,'Payments'!$B$5:$B$429,A106,'Payments'!$D$5:$D$429,"&lt;="&amp;'Start Here'!$B$5)</x:f>
        <x:v>0</x:v>
      </x:c>
      <x:c r="G106" s="11" t="n">
        <x:f>ROUND(E106-F106,2)</x:f>
        <x:v>889.5</x:v>
      </x:c>
      <x:c r="H106" s="2" t="n">
        <x:f>IF(G106&gt;0,MAX(0,'Start Here'!$B$5-D106),0)</x:f>
        <x:v>44</x:v>
      </x:c>
      <x:c r="I106" s="2" t="str">
        <x:f>IF(G106=0,"Paid",IF(H106=0,"Current",IF(H106&lt;=30,"1-30",IF(H106&lt;=60,"31-60",IF(H106&lt;=90,"61-90","91+")))))</x:f>
        <x:v>31-60</x:v>
      </x:c>
      <x:c r="J106" s="2" t="n">
        <x:f>IF(G106=0,0,IF(H106=0,1,IF(H106&lt;=30,2,IF(H106&lt;=60,3,IF(H106&lt;=90,4,5)))))</x:f>
        <x:v>3</x:v>
      </x:c>
      <x:c r="K106" s="2" t="str">
        <x:f>'Invoices'!F106</x:f>
        <x:v>No</x:v>
      </x:c>
      <x:c r="L106" s="10" t="n">
        <x:f>'Start Here'!$B$5</x:f>
        <x:v>46295</x:v>
      </x:c>
    </x:row>
    <x:row r="107" ht="23" customHeight="1">
      <x:c r="A107" s="2" t="str">
        <x:f>'Invoices'!A107</x:f>
        <x:v>INV00103</x:v>
      </x:c>
      <x:c r="B107" s="2" t="str">
        <x:f>'Invoices'!B107</x:f>
        <x:v>C012</x:v>
      </x:c>
      <x:c r="C107" s="10" t="n">
        <x:f>'Invoices'!C107</x:f>
        <x:v>46214</x:v>
      </x:c>
      <x:c r="D107" s="10" t="n">
        <x:f>'Invoices'!D107</x:f>
        <x:v>46259</x:v>
      </x:c>
      <x:c r="E107" s="11" t="n">
        <x:f>'Invoices'!E107</x:f>
        <x:v>4521.65</x:v>
      </x:c>
      <x:c r="F107" s="11" t="n">
        <x:f>SUMIFS('Payments'!$E$5:$E$429,'Payments'!$B$5:$B$429,A107,'Payments'!$D$5:$D$429,"&lt;="&amp;'Start Here'!$B$5)</x:f>
        <x:v>4521.65</x:v>
      </x:c>
      <x:c r="G107" s="11" t="n">
        <x:f>ROUND(E107-F107,2)</x:f>
        <x:v>0</x:v>
      </x:c>
      <x:c r="H107" s="2" t="n">
        <x:f>IF(G107&gt;0,MAX(0,'Start Here'!$B$5-D107),0)</x:f>
        <x:v>0</x:v>
      </x:c>
      <x:c r="I107" s="2" t="str">
        <x:f>IF(G107=0,"Paid",IF(H107=0,"Current",IF(H107&lt;=30,"1-30",IF(H107&lt;=60,"31-60",IF(H107&lt;=90,"61-90","91+")))))</x:f>
        <x:v>Paid</x:v>
      </x:c>
      <x:c r="J107" s="2" t="n">
        <x:f>IF(G107=0,0,IF(H107=0,1,IF(H107&lt;=30,2,IF(H107&lt;=60,3,IF(H107&lt;=90,4,5)))))</x:f>
        <x:v>0</x:v>
      </x:c>
      <x:c r="K107" s="2" t="str">
        <x:f>'Invoices'!F107</x:f>
        <x:v>No</x:v>
      </x:c>
      <x:c r="L107" s="10" t="n">
        <x:f>'Start Here'!$B$5</x:f>
        <x:v>46295</x:v>
      </x:c>
    </x:row>
    <x:row r="108" ht="23" customHeight="1">
      <x:c r="A108" s="2" t="str">
        <x:f>'Invoices'!A108</x:f>
        <x:v>INV00104</x:v>
      </x:c>
      <x:c r="B108" s="2" t="str">
        <x:f>'Invoices'!B108</x:f>
        <x:v>C017</x:v>
      </x:c>
      <x:c r="C108" s="10" t="n">
        <x:f>'Invoices'!C108</x:f>
        <x:v>46090</x:v>
      </x:c>
      <x:c r="D108" s="10" t="n">
        <x:f>'Invoices'!D108</x:f>
        <x:v>46150</x:v>
      </x:c>
      <x:c r="E108" s="11" t="n">
        <x:f>'Invoices'!E108</x:f>
        <x:v>13454.36</x:v>
      </x:c>
      <x:c r="F108" s="11" t="n">
        <x:f>SUMIFS('Payments'!$E$5:$E$429,'Payments'!$B$5:$B$429,A108,'Payments'!$D$5:$D$429,"&lt;="&amp;'Start Here'!$B$5)</x:f>
        <x:v>13454.36</x:v>
      </x:c>
      <x:c r="G108" s="11" t="n">
        <x:f>ROUND(E108-F108,2)</x:f>
        <x:v>0</x:v>
      </x:c>
      <x:c r="H108" s="2" t="n">
        <x:f>IF(G108&gt;0,MAX(0,'Start Here'!$B$5-D108),0)</x:f>
        <x:v>0</x:v>
      </x:c>
      <x:c r="I108" s="2" t="str">
        <x:f>IF(G108=0,"Paid",IF(H108=0,"Current",IF(H108&lt;=30,"1-30",IF(H108&lt;=60,"31-60",IF(H108&lt;=90,"61-90","91+")))))</x:f>
        <x:v>Paid</x:v>
      </x:c>
      <x:c r="J108" s="2" t="n">
        <x:f>IF(G108=0,0,IF(H108=0,1,IF(H108&lt;=30,2,IF(H108&lt;=60,3,IF(H108&lt;=90,4,5)))))</x:f>
        <x:v>0</x:v>
      </x:c>
      <x:c r="K108" s="2" t="str">
        <x:f>'Invoices'!F108</x:f>
        <x:v>No</x:v>
      </x:c>
      <x:c r="L108" s="10" t="n">
        <x:f>'Start Here'!$B$5</x:f>
        <x:v>46295</x:v>
      </x:c>
    </x:row>
    <x:row r="109" ht="23" customHeight="1">
      <x:c r="A109" s="2" t="str">
        <x:f>'Invoices'!A109</x:f>
        <x:v>INV00105</x:v>
      </x:c>
      <x:c r="B109" s="2" t="str">
        <x:f>'Invoices'!B109</x:f>
        <x:v>C040</x:v>
      </x:c>
      <x:c r="C109" s="10" t="n">
        <x:f>'Invoices'!C109</x:f>
        <x:v>46228</x:v>
      </x:c>
      <x:c r="D109" s="10" t="n">
        <x:f>'Invoices'!D109</x:f>
        <x:v>46243</x:v>
      </x:c>
      <x:c r="E109" s="11" t="n">
        <x:f>'Invoices'!E109</x:f>
        <x:v>5994.7</x:v>
      </x:c>
      <x:c r="F109" s="11" t="n">
        <x:f>SUMIFS('Payments'!$E$5:$E$429,'Payments'!$B$5:$B$429,A109,'Payments'!$D$5:$D$429,"&lt;="&amp;'Start Here'!$B$5)</x:f>
        <x:v>5994.7</x:v>
      </x:c>
      <x:c r="G109" s="11" t="n">
        <x:f>ROUND(E109-F109,2)</x:f>
        <x:v>0</x:v>
      </x:c>
      <x:c r="H109" s="2" t="n">
        <x:f>IF(G109&gt;0,MAX(0,'Start Here'!$B$5-D109),0)</x:f>
        <x:v>0</x:v>
      </x:c>
      <x:c r="I109" s="2" t="str">
        <x:f>IF(G109=0,"Paid",IF(H109=0,"Current",IF(H109&lt;=30,"1-30",IF(H109&lt;=60,"31-60",IF(H109&lt;=90,"61-90","91+")))))</x:f>
        <x:v>Paid</x:v>
      </x:c>
      <x:c r="J109" s="2" t="n">
        <x:f>IF(G109=0,0,IF(H109=0,1,IF(H109&lt;=30,2,IF(H109&lt;=60,3,IF(H109&lt;=90,4,5)))))</x:f>
        <x:v>0</x:v>
      </x:c>
      <x:c r="K109" s="2" t="str">
        <x:f>'Invoices'!F109</x:f>
        <x:v>No</x:v>
      </x:c>
      <x:c r="L109" s="10" t="n">
        <x:f>'Start Here'!$B$5</x:f>
        <x:v>46295</x:v>
      </x:c>
    </x:row>
    <x:row r="110" ht="23" customHeight="1">
      <x:c r="A110" s="2" t="str">
        <x:f>'Invoices'!A110</x:f>
        <x:v>INV00106</x:v>
      </x:c>
      <x:c r="B110" s="2" t="str">
        <x:f>'Invoices'!B110</x:f>
        <x:v>C008</x:v>
      </x:c>
      <x:c r="C110" s="10" t="n">
        <x:f>'Invoices'!C110</x:f>
        <x:v>46151</x:v>
      </x:c>
      <x:c r="D110" s="10" t="n">
        <x:f>'Invoices'!D110</x:f>
        <x:v>46196</x:v>
      </x:c>
      <x:c r="E110" s="11" t="n">
        <x:f>'Invoices'!E110</x:f>
        <x:v>6284.26</x:v>
      </x:c>
      <x:c r="F110" s="11" t="n">
        <x:f>SUMIFS('Payments'!$E$5:$E$429,'Payments'!$B$5:$B$429,A110,'Payments'!$D$5:$D$429,"&lt;="&amp;'Start Here'!$B$5)</x:f>
        <x:v>6284.26</x:v>
      </x:c>
      <x:c r="G110" s="11" t="n">
        <x:f>ROUND(E110-F110,2)</x:f>
        <x:v>0</x:v>
      </x:c>
      <x:c r="H110" s="2" t="n">
        <x:f>IF(G110&gt;0,MAX(0,'Start Here'!$B$5-D110),0)</x:f>
        <x:v>0</x:v>
      </x:c>
      <x:c r="I110" s="2" t="str">
        <x:f>IF(G110=0,"Paid",IF(H110=0,"Current",IF(H110&lt;=30,"1-30",IF(H110&lt;=60,"31-60",IF(H110&lt;=90,"61-90","91+")))))</x:f>
        <x:v>Paid</x:v>
      </x:c>
      <x:c r="J110" s="2" t="n">
        <x:f>IF(G110=0,0,IF(H110=0,1,IF(H110&lt;=30,2,IF(H110&lt;=60,3,IF(H110&lt;=90,4,5)))))</x:f>
        <x:v>0</x:v>
      </x:c>
      <x:c r="K110" s="2" t="str">
        <x:f>'Invoices'!F110</x:f>
        <x:v>No</x:v>
      </x:c>
      <x:c r="L110" s="10" t="n">
        <x:f>'Start Here'!$B$5</x:f>
        <x:v>46295</x:v>
      </x:c>
    </x:row>
    <x:row r="111" ht="23" customHeight="1">
      <x:c r="A111" s="2" t="str">
        <x:f>'Invoices'!A111</x:f>
        <x:v>INV00107</x:v>
      </x:c>
      <x:c r="B111" s="2" t="str">
        <x:f>'Invoices'!B111</x:f>
        <x:v>C019</x:v>
      </x:c>
      <x:c r="C111" s="10" t="n">
        <x:f>'Invoices'!C111</x:f>
        <x:v>46070</x:v>
      </x:c>
      <x:c r="D111" s="10" t="n">
        <x:f>'Invoices'!D111</x:f>
        <x:v>46115</x:v>
      </x:c>
      <x:c r="E111" s="11" t="n">
        <x:f>'Invoices'!E111</x:f>
        <x:v>2189.13</x:v>
      </x:c>
      <x:c r="F111" s="11" t="n">
        <x:f>SUMIFS('Payments'!$E$5:$E$429,'Payments'!$B$5:$B$429,A111,'Payments'!$D$5:$D$429,"&lt;="&amp;'Start Here'!$B$5)</x:f>
        <x:v>2189.13</x:v>
      </x:c>
      <x:c r="G111" s="11" t="n">
        <x:f>ROUND(E111-F111,2)</x:f>
        <x:v>0</x:v>
      </x:c>
      <x:c r="H111" s="2" t="n">
        <x:f>IF(G111&gt;0,MAX(0,'Start Here'!$B$5-D111),0)</x:f>
        <x:v>0</x:v>
      </x:c>
      <x:c r="I111" s="2" t="str">
        <x:f>IF(G111=0,"Paid",IF(H111=0,"Current",IF(H111&lt;=30,"1-30",IF(H111&lt;=60,"31-60",IF(H111&lt;=90,"61-90","91+")))))</x:f>
        <x:v>Paid</x:v>
      </x:c>
      <x:c r="J111" s="2" t="n">
        <x:f>IF(G111=0,0,IF(H111=0,1,IF(H111&lt;=30,2,IF(H111&lt;=60,3,IF(H111&lt;=90,4,5)))))</x:f>
        <x:v>0</x:v>
      </x:c>
      <x:c r="K111" s="2" t="str">
        <x:f>'Invoices'!F111</x:f>
        <x:v>No</x:v>
      </x:c>
      <x:c r="L111" s="10" t="n">
        <x:f>'Start Here'!$B$5</x:f>
        <x:v>46295</x:v>
      </x:c>
    </x:row>
    <x:row r="112" ht="23" customHeight="1">
      <x:c r="A112" s="2" t="str">
        <x:f>'Invoices'!A112</x:f>
        <x:v>INV00108</x:v>
      </x:c>
      <x:c r="B112" s="2" t="str">
        <x:f>'Invoices'!B112</x:f>
        <x:v>C028</x:v>
      </x:c>
      <x:c r="C112" s="10" t="n">
        <x:f>'Invoices'!C112</x:f>
        <x:v>46281</x:v>
      </x:c>
      <x:c r="D112" s="10" t="n">
        <x:f>'Invoices'!D112</x:f>
        <x:v>46326</x:v>
      </x:c>
      <x:c r="E112" s="11" t="n">
        <x:f>'Invoices'!E112</x:f>
        <x:v>9266.56</x:v>
      </x:c>
      <x:c r="F112" s="11" t="n">
        <x:f>SUMIFS('Payments'!$E$5:$E$429,'Payments'!$B$5:$B$429,A112,'Payments'!$D$5:$D$429,"&lt;="&amp;'Start Here'!$B$5)</x:f>
        <x:v>0</x:v>
      </x:c>
      <x:c r="G112" s="11" t="n">
        <x:f>ROUND(E112-F112,2)</x:f>
        <x:v>9266.56</x:v>
      </x:c>
      <x:c r="H112" s="2" t="n">
        <x:f>IF(G112&gt;0,MAX(0,'Start Here'!$B$5-D112),0)</x:f>
        <x:v>0</x:v>
      </x:c>
      <x:c r="I112" s="2" t="str">
        <x:f>IF(G112=0,"Paid",IF(H112=0,"Current",IF(H112&lt;=30,"1-30",IF(H112&lt;=60,"31-60",IF(H112&lt;=90,"61-90","91+")))))</x:f>
        <x:v>Current</x:v>
      </x:c>
      <x:c r="J112" s="2" t="n">
        <x:f>IF(G112=0,0,IF(H112=0,1,IF(H112&lt;=30,2,IF(H112&lt;=60,3,IF(H112&lt;=90,4,5)))))</x:f>
        <x:v>1</x:v>
      </x:c>
      <x:c r="K112" s="2" t="str">
        <x:f>'Invoices'!F112</x:f>
        <x:v>No</x:v>
      </x:c>
      <x:c r="L112" s="10" t="n">
        <x:f>'Start Here'!$B$5</x:f>
        <x:v>46295</x:v>
      </x:c>
    </x:row>
    <x:row r="113" ht="23" customHeight="1">
      <x:c r="A113" s="2" t="str">
        <x:f>'Invoices'!A113</x:f>
        <x:v>INV00109</x:v>
      </x:c>
      <x:c r="B113" s="2" t="str">
        <x:f>'Invoices'!B113</x:f>
        <x:v>C001</x:v>
      </x:c>
      <x:c r="C113" s="10" t="n">
        <x:f>'Invoices'!C113</x:f>
        <x:v>46025</x:v>
      </x:c>
      <x:c r="D113" s="10" t="n">
        <x:f>'Invoices'!D113</x:f>
        <x:v>46040</x:v>
      </x:c>
      <x:c r="E113" s="11" t="n">
        <x:f>'Invoices'!E113</x:f>
        <x:v>8525.5</x:v>
      </x:c>
      <x:c r="F113" s="11" t="n">
        <x:f>SUMIFS('Payments'!$E$5:$E$429,'Payments'!$B$5:$B$429,A113,'Payments'!$D$5:$D$429,"&lt;="&amp;'Start Here'!$B$5)</x:f>
        <x:v>8525.5</x:v>
      </x:c>
      <x:c r="G113" s="11" t="n">
        <x:f>ROUND(E113-F113,2)</x:f>
        <x:v>0</x:v>
      </x:c>
      <x:c r="H113" s="2" t="n">
        <x:f>IF(G113&gt;0,MAX(0,'Start Here'!$B$5-D113),0)</x:f>
        <x:v>0</x:v>
      </x:c>
      <x:c r="I113" s="2" t="str">
        <x:f>IF(G113=0,"Paid",IF(H113=0,"Current",IF(H113&lt;=30,"1-30",IF(H113&lt;=60,"31-60",IF(H113&lt;=90,"61-90","91+")))))</x:f>
        <x:v>Paid</x:v>
      </x:c>
      <x:c r="J113" s="2" t="n">
        <x:f>IF(G113=0,0,IF(H113=0,1,IF(H113&lt;=30,2,IF(H113&lt;=60,3,IF(H113&lt;=90,4,5)))))</x:f>
        <x:v>0</x:v>
      </x:c>
      <x:c r="K113" s="2" t="str">
        <x:f>'Invoices'!F113</x:f>
        <x:v>No</x:v>
      </x:c>
      <x:c r="L113" s="10" t="n">
        <x:f>'Start Here'!$B$5</x:f>
        <x:v>46295</x:v>
      </x:c>
    </x:row>
    <x:row r="114" ht="23" customHeight="1">
      <x:c r="A114" s="2" t="str">
        <x:f>'Invoices'!A114</x:f>
        <x:v>INV00110</x:v>
      </x:c>
      <x:c r="B114" s="2" t="str">
        <x:f>'Invoices'!B114</x:f>
        <x:v>C029</x:v>
      </x:c>
      <x:c r="C114" s="10" t="n">
        <x:f>'Invoices'!C114</x:f>
        <x:v>46182</x:v>
      </x:c>
      <x:c r="D114" s="10" t="n">
        <x:f>'Invoices'!D114</x:f>
        <x:v>46197</x:v>
      </x:c>
      <x:c r="E114" s="11" t="n">
        <x:f>'Invoices'!E114</x:f>
        <x:v>9426.5</x:v>
      </x:c>
      <x:c r="F114" s="11" t="n">
        <x:f>SUMIFS('Payments'!$E$5:$E$429,'Payments'!$B$5:$B$429,A114,'Payments'!$D$5:$D$429,"&lt;="&amp;'Start Here'!$B$5)</x:f>
        <x:v>9426.5</x:v>
      </x:c>
      <x:c r="G114" s="11" t="n">
        <x:f>ROUND(E114-F114,2)</x:f>
        <x:v>0</x:v>
      </x:c>
      <x:c r="H114" s="2" t="n">
        <x:f>IF(G114&gt;0,MAX(0,'Start Here'!$B$5-D114),0)</x:f>
        <x:v>0</x:v>
      </x:c>
      <x:c r="I114" s="2" t="str">
        <x:f>IF(G114=0,"Paid",IF(H114=0,"Current",IF(H114&lt;=30,"1-30",IF(H114&lt;=60,"31-60",IF(H114&lt;=90,"61-90","91+")))))</x:f>
        <x:v>Paid</x:v>
      </x:c>
      <x:c r="J114" s="2" t="n">
        <x:f>IF(G114=0,0,IF(H114=0,1,IF(H114&lt;=30,2,IF(H114&lt;=60,3,IF(H114&lt;=90,4,5)))))</x:f>
        <x:v>0</x:v>
      </x:c>
      <x:c r="K114" s="2" t="str">
        <x:f>'Invoices'!F114</x:f>
        <x:v>No</x:v>
      </x:c>
      <x:c r="L114" s="10" t="n">
        <x:f>'Start Here'!$B$5</x:f>
        <x:v>46295</x:v>
      </x:c>
    </x:row>
    <x:row r="115" ht="23" customHeight="1">
      <x:c r="A115" s="2" t="str">
        <x:f>'Invoices'!A115</x:f>
        <x:v>INV00111</x:v>
      </x:c>
      <x:c r="B115" s="2" t="str">
        <x:f>'Invoices'!B115</x:f>
        <x:v>C004</x:v>
      </x:c>
      <x:c r="C115" s="10" t="n">
        <x:f>'Invoices'!C115</x:f>
        <x:v>46169</x:v>
      </x:c>
      <x:c r="D115" s="10" t="n">
        <x:f>'Invoices'!D115</x:f>
        <x:v>46229</x:v>
      </x:c>
      <x:c r="E115" s="11" t="n">
        <x:f>'Invoices'!E115</x:f>
        <x:v>10484.36</x:v>
      </x:c>
      <x:c r="F115" s="11" t="n">
        <x:f>SUMIFS('Payments'!$E$5:$E$429,'Payments'!$B$5:$B$429,A115,'Payments'!$D$5:$D$429,"&lt;="&amp;'Start Here'!$B$5)</x:f>
        <x:v>0</x:v>
      </x:c>
      <x:c r="G115" s="11" t="n">
        <x:f>ROUND(E115-F115,2)</x:f>
        <x:v>10484.36</x:v>
      </x:c>
      <x:c r="H115" s="2" t="n">
        <x:f>IF(G115&gt;0,MAX(0,'Start Here'!$B$5-D115),0)</x:f>
        <x:v>66</x:v>
      </x:c>
      <x:c r="I115" s="2" t="str">
        <x:f>IF(G115=0,"Paid",IF(H115=0,"Current",IF(H115&lt;=30,"1-30",IF(H115&lt;=60,"31-60",IF(H115&lt;=90,"61-90","91+")))))</x:f>
        <x:v>61-90</x:v>
      </x:c>
      <x:c r="J115" s="2" t="n">
        <x:f>IF(G115=0,0,IF(H115=0,1,IF(H115&lt;=30,2,IF(H115&lt;=60,3,IF(H115&lt;=90,4,5)))))</x:f>
        <x:v>4</x:v>
      </x:c>
      <x:c r="K115" s="2" t="str">
        <x:f>'Invoices'!F115</x:f>
        <x:v>No</x:v>
      </x:c>
      <x:c r="L115" s="10" t="n">
        <x:f>'Start Here'!$B$5</x:f>
        <x:v>46295</x:v>
      </x:c>
    </x:row>
    <x:row r="116" ht="23" customHeight="1">
      <x:c r="A116" s="2" t="str">
        <x:f>'Invoices'!A116</x:f>
        <x:v>INV00112</x:v>
      </x:c>
      <x:c r="B116" s="2" t="str">
        <x:f>'Invoices'!B116</x:f>
        <x:v>C038</x:v>
      </x:c>
      <x:c r="C116" s="10" t="n">
        <x:f>'Invoices'!C116</x:f>
        <x:v>46030</x:v>
      </x:c>
      <x:c r="D116" s="10" t="n">
        <x:f>'Invoices'!D116</x:f>
        <x:v>46090</x:v>
      </x:c>
      <x:c r="E116" s="11" t="n">
        <x:f>'Invoices'!E116</x:f>
        <x:v>811.17</x:v>
      </x:c>
      <x:c r="F116" s="11" t="n">
        <x:f>SUMIFS('Payments'!$E$5:$E$429,'Payments'!$B$5:$B$429,A116,'Payments'!$D$5:$D$429,"&lt;="&amp;'Start Here'!$B$5)</x:f>
        <x:v>0</x:v>
      </x:c>
      <x:c r="G116" s="11" t="n">
        <x:f>ROUND(E116-F116,2)</x:f>
        <x:v>811.17</x:v>
      </x:c>
      <x:c r="H116" s="2" t="n">
        <x:f>IF(G116&gt;0,MAX(0,'Start Here'!$B$5-D116),0)</x:f>
        <x:v>205</x:v>
      </x:c>
      <x:c r="I116" s="2" t="str">
        <x:f>IF(G116=0,"Paid",IF(H116=0,"Current",IF(H116&lt;=30,"1-30",IF(H116&lt;=60,"31-60",IF(H116&lt;=90,"61-90","91+")))))</x:f>
        <x:v>91+</x:v>
      </x:c>
      <x:c r="J116" s="2" t="n">
        <x:f>IF(G116=0,0,IF(H116=0,1,IF(H116&lt;=30,2,IF(H116&lt;=60,3,IF(H116&lt;=90,4,5)))))</x:f>
        <x:v>5</x:v>
      </x:c>
      <x:c r="K116" s="2" t="str">
        <x:f>'Invoices'!F116</x:f>
        <x:v>No</x:v>
      </x:c>
      <x:c r="L116" s="10" t="n">
        <x:f>'Start Here'!$B$5</x:f>
        <x:v>46295</x:v>
      </x:c>
    </x:row>
    <x:row r="117" ht="23" customHeight="1">
      <x:c r="A117" s="2" t="str">
        <x:f>'Invoices'!A117</x:f>
        <x:v>INV00113</x:v>
      </x:c>
      <x:c r="B117" s="2" t="str">
        <x:f>'Invoices'!B117</x:f>
        <x:v>C011</x:v>
      </x:c>
      <x:c r="C117" s="10" t="n">
        <x:f>'Invoices'!C117</x:f>
        <x:v>46196</x:v>
      </x:c>
      <x:c r="D117" s="10" t="n">
        <x:f>'Invoices'!D117</x:f>
        <x:v>46226</x:v>
      </x:c>
      <x:c r="E117" s="11" t="n">
        <x:f>'Invoices'!E117</x:f>
        <x:v>15170.78</x:v>
      </x:c>
      <x:c r="F117" s="11" t="n">
        <x:f>SUMIFS('Payments'!$E$5:$E$429,'Payments'!$B$5:$B$429,A117,'Payments'!$D$5:$D$429,"&lt;="&amp;'Start Here'!$B$5)</x:f>
        <x:v>15170.78</x:v>
      </x:c>
      <x:c r="G117" s="11" t="n">
        <x:f>ROUND(E117-F117,2)</x:f>
        <x:v>0</x:v>
      </x:c>
      <x:c r="H117" s="2" t="n">
        <x:f>IF(G117&gt;0,MAX(0,'Start Here'!$B$5-D117),0)</x:f>
        <x:v>0</x:v>
      </x:c>
      <x:c r="I117" s="2" t="str">
        <x:f>IF(G117=0,"Paid",IF(H117=0,"Current",IF(H117&lt;=30,"1-30",IF(H117&lt;=60,"31-60",IF(H117&lt;=90,"61-90","91+")))))</x:f>
        <x:v>Paid</x:v>
      </x:c>
      <x:c r="J117" s="2" t="n">
        <x:f>IF(G117=0,0,IF(H117=0,1,IF(H117&lt;=30,2,IF(H117&lt;=60,3,IF(H117&lt;=90,4,5)))))</x:f>
        <x:v>0</x:v>
      </x:c>
      <x:c r="K117" s="2" t="str">
        <x:f>'Invoices'!F117</x:f>
        <x:v>No</x:v>
      </x:c>
      <x:c r="L117" s="10" t="n">
        <x:f>'Start Here'!$B$5</x:f>
        <x:v>46295</x:v>
      </x:c>
    </x:row>
    <x:row r="118" ht="23" customHeight="1">
      <x:c r="A118" s="2" t="str">
        <x:f>'Invoices'!A118</x:f>
        <x:v>INV00114</x:v>
      </x:c>
      <x:c r="B118" s="2" t="str">
        <x:f>'Invoices'!B118</x:f>
        <x:v>C014</x:v>
      </x:c>
      <x:c r="C118" s="10" t="n">
        <x:f>'Invoices'!C118</x:f>
        <x:v>46039</x:v>
      </x:c>
      <x:c r="D118" s="10" t="n">
        <x:f>'Invoices'!D118</x:f>
        <x:v>46054</x:v>
      </x:c>
      <x:c r="E118" s="11" t="n">
        <x:f>'Invoices'!E118</x:f>
        <x:v>10795.4</x:v>
      </x:c>
      <x:c r="F118" s="11" t="n">
        <x:f>SUMIFS('Payments'!$E$5:$E$429,'Payments'!$B$5:$B$429,A118,'Payments'!$D$5:$D$429,"&lt;="&amp;'Start Here'!$B$5)</x:f>
        <x:v>10795.4</x:v>
      </x:c>
      <x:c r="G118" s="11" t="n">
        <x:f>ROUND(E118-F118,2)</x:f>
        <x:v>0</x:v>
      </x:c>
      <x:c r="H118" s="2" t="n">
        <x:f>IF(G118&gt;0,MAX(0,'Start Here'!$B$5-D118),0)</x:f>
        <x:v>0</x:v>
      </x:c>
      <x:c r="I118" s="2" t="str">
        <x:f>IF(G118=0,"Paid",IF(H118=0,"Current",IF(H118&lt;=30,"1-30",IF(H118&lt;=60,"31-60",IF(H118&lt;=90,"61-90","91+")))))</x:f>
        <x:v>Paid</x:v>
      </x:c>
      <x:c r="J118" s="2" t="n">
        <x:f>IF(G118=0,0,IF(H118=0,1,IF(H118&lt;=30,2,IF(H118&lt;=60,3,IF(H118&lt;=90,4,5)))))</x:f>
        <x:v>0</x:v>
      </x:c>
      <x:c r="K118" s="2" t="str">
        <x:f>'Invoices'!F118</x:f>
        <x:v>No</x:v>
      </x:c>
      <x:c r="L118" s="10" t="n">
        <x:f>'Start Here'!$B$5</x:f>
        <x:v>46295</x:v>
      </x:c>
    </x:row>
    <x:row r="119" ht="23" customHeight="1">
      <x:c r="A119" s="2" t="str">
        <x:f>'Invoices'!A119</x:f>
        <x:v>INV00115</x:v>
      </x:c>
      <x:c r="B119" s="2" t="str">
        <x:f>'Invoices'!B119</x:f>
        <x:v>C030</x:v>
      </x:c>
      <x:c r="C119" s="10" t="n">
        <x:f>'Invoices'!C119</x:f>
        <x:v>46137</x:v>
      </x:c>
      <x:c r="D119" s="10" t="n">
        <x:f>'Invoices'!D119</x:f>
        <x:v>46167</x:v>
      </x:c>
      <x:c r="E119" s="11" t="n">
        <x:f>'Invoices'!E119</x:f>
        <x:v>11560</x:v>
      </x:c>
      <x:c r="F119" s="11" t="n">
        <x:f>SUMIFS('Payments'!$E$5:$E$429,'Payments'!$B$5:$B$429,A119,'Payments'!$D$5:$D$429,"&lt;="&amp;'Start Here'!$B$5)</x:f>
        <x:v>11560</x:v>
      </x:c>
      <x:c r="G119" s="11" t="n">
        <x:f>ROUND(E119-F119,2)</x:f>
        <x:v>0</x:v>
      </x:c>
      <x:c r="H119" s="2" t="n">
        <x:f>IF(G119&gt;0,MAX(0,'Start Here'!$B$5-D119),0)</x:f>
        <x:v>0</x:v>
      </x:c>
      <x:c r="I119" s="2" t="str">
        <x:f>IF(G119=0,"Paid",IF(H119=0,"Current",IF(H119&lt;=30,"1-30",IF(H119&lt;=60,"31-60",IF(H119&lt;=90,"61-90","91+")))))</x:f>
        <x:v>Paid</x:v>
      </x:c>
      <x:c r="J119" s="2" t="n">
        <x:f>IF(G119=0,0,IF(H119=0,1,IF(H119&lt;=30,2,IF(H119&lt;=60,3,IF(H119&lt;=90,4,5)))))</x:f>
        <x:v>0</x:v>
      </x:c>
      <x:c r="K119" s="2" t="str">
        <x:f>'Invoices'!F119</x:f>
        <x:v>No</x:v>
      </x:c>
      <x:c r="L119" s="10" t="n">
        <x:f>'Start Here'!$B$5</x:f>
        <x:v>46295</x:v>
      </x:c>
    </x:row>
    <x:row r="120" ht="23" customHeight="1">
      <x:c r="A120" s="2" t="str">
        <x:f>'Invoices'!A120</x:f>
        <x:v>INV00116</x:v>
      </x:c>
      <x:c r="B120" s="2" t="str">
        <x:f>'Invoices'!B120</x:f>
        <x:v>C028</x:v>
      </x:c>
      <x:c r="C120" s="10" t="n">
        <x:f>'Invoices'!C120</x:f>
        <x:v>46219</x:v>
      </x:c>
      <x:c r="D120" s="10" t="n">
        <x:f>'Invoices'!D120</x:f>
        <x:v>46249</x:v>
      </x:c>
      <x:c r="E120" s="11" t="n">
        <x:f>'Invoices'!E120</x:f>
        <x:v>5530.99</x:v>
      </x:c>
      <x:c r="F120" s="11" t="n">
        <x:f>SUMIFS('Payments'!$E$5:$E$429,'Payments'!$B$5:$B$429,A120,'Payments'!$D$5:$D$429,"&lt;="&amp;'Start Here'!$B$5)</x:f>
        <x:v>3318.59</x:v>
      </x:c>
      <x:c r="G120" s="11" t="n">
        <x:f>ROUND(E120-F120,2)</x:f>
        <x:v>2212.4</x:v>
      </x:c>
      <x:c r="H120" s="2" t="n">
        <x:f>IF(G120&gt;0,MAX(0,'Start Here'!$B$5-D120),0)</x:f>
        <x:v>46</x:v>
      </x:c>
      <x:c r="I120" s="2" t="str">
        <x:f>IF(G120=0,"Paid",IF(H120=0,"Current",IF(H120&lt;=30,"1-30",IF(H120&lt;=60,"31-60",IF(H120&lt;=90,"61-90","91+")))))</x:f>
        <x:v>31-60</x:v>
      </x:c>
      <x:c r="J120" s="2" t="n">
        <x:f>IF(G120=0,0,IF(H120=0,1,IF(H120&lt;=30,2,IF(H120&lt;=60,3,IF(H120&lt;=90,4,5)))))</x:f>
        <x:v>3</x:v>
      </x:c>
      <x:c r="K120" s="2" t="str">
        <x:f>'Invoices'!F120</x:f>
        <x:v>No</x:v>
      </x:c>
      <x:c r="L120" s="10" t="n">
        <x:f>'Start Here'!$B$5</x:f>
        <x:v>46295</x:v>
      </x:c>
    </x:row>
    <x:row r="121" ht="23" customHeight="1">
      <x:c r="A121" s="2" t="str">
        <x:f>'Invoices'!A121</x:f>
        <x:v>INV00117</x:v>
      </x:c>
      <x:c r="B121" s="2" t="str">
        <x:f>'Invoices'!B121</x:f>
        <x:v>C018</x:v>
      </x:c>
      <x:c r="C121" s="10" t="n">
        <x:f>'Invoices'!C121</x:f>
        <x:v>46185</x:v>
      </x:c>
      <x:c r="D121" s="10" t="n">
        <x:f>'Invoices'!D121</x:f>
        <x:v>46215</x:v>
      </x:c>
      <x:c r="E121" s="11" t="n">
        <x:f>'Invoices'!E121</x:f>
        <x:v>11430.93</x:v>
      </x:c>
      <x:c r="F121" s="11" t="n">
        <x:f>SUMIFS('Payments'!$E$5:$E$429,'Payments'!$B$5:$B$429,A121,'Payments'!$D$5:$D$429,"&lt;="&amp;'Start Here'!$B$5)</x:f>
        <x:v>11430.93</x:v>
      </x:c>
      <x:c r="G121" s="11" t="n">
        <x:f>ROUND(E121-F121,2)</x:f>
        <x:v>0</x:v>
      </x:c>
      <x:c r="H121" s="2" t="n">
        <x:f>IF(G121&gt;0,MAX(0,'Start Here'!$B$5-D121),0)</x:f>
        <x:v>0</x:v>
      </x:c>
      <x:c r="I121" s="2" t="str">
        <x:f>IF(G121=0,"Paid",IF(H121=0,"Current",IF(H121&lt;=30,"1-30",IF(H121&lt;=60,"31-60",IF(H121&lt;=90,"61-90","91+")))))</x:f>
        <x:v>Paid</x:v>
      </x:c>
      <x:c r="J121" s="2" t="n">
        <x:f>IF(G121=0,0,IF(H121=0,1,IF(H121&lt;=30,2,IF(H121&lt;=60,3,IF(H121&lt;=90,4,5)))))</x:f>
        <x:v>0</x:v>
      </x:c>
      <x:c r="K121" s="2" t="str">
        <x:f>'Invoices'!F121</x:f>
        <x:v>No</x:v>
      </x:c>
      <x:c r="L121" s="10" t="n">
        <x:f>'Start Here'!$B$5</x:f>
        <x:v>46295</x:v>
      </x:c>
    </x:row>
    <x:row r="122" ht="23" customHeight="1">
      <x:c r="A122" s="2" t="str">
        <x:f>'Invoices'!A122</x:f>
        <x:v>INV00118</x:v>
      </x:c>
      <x:c r="B122" s="2" t="str">
        <x:f>'Invoices'!B122</x:f>
        <x:v>C013</x:v>
      </x:c>
      <x:c r="C122" s="10" t="n">
        <x:f>'Invoices'!C122</x:f>
        <x:v>46259</x:v>
      </x:c>
      <x:c r="D122" s="10" t="n">
        <x:f>'Invoices'!D122</x:f>
        <x:v>46319</x:v>
      </x:c>
      <x:c r="E122" s="11" t="n">
        <x:f>'Invoices'!E122</x:f>
        <x:v>11897.81</x:v>
      </x:c>
      <x:c r="F122" s="11" t="n">
        <x:f>SUMIFS('Payments'!$E$5:$E$429,'Payments'!$B$5:$B$429,A122,'Payments'!$D$5:$D$429,"&lt;="&amp;'Start Here'!$B$5)</x:f>
        <x:v>0</x:v>
      </x:c>
      <x:c r="G122" s="11" t="n">
        <x:f>ROUND(E122-F122,2)</x:f>
        <x:v>11897.81</x:v>
      </x:c>
      <x:c r="H122" s="2" t="n">
        <x:f>IF(G122&gt;0,MAX(0,'Start Here'!$B$5-D122),0)</x:f>
        <x:v>0</x:v>
      </x:c>
      <x:c r="I122" s="2" t="str">
        <x:f>IF(G122=0,"Paid",IF(H122=0,"Current",IF(H122&lt;=30,"1-30",IF(H122&lt;=60,"31-60",IF(H122&lt;=90,"61-90","91+")))))</x:f>
        <x:v>Current</x:v>
      </x:c>
      <x:c r="J122" s="2" t="n">
        <x:f>IF(G122=0,0,IF(H122=0,1,IF(H122&lt;=30,2,IF(H122&lt;=60,3,IF(H122&lt;=90,4,5)))))</x:f>
        <x:v>1</x:v>
      </x:c>
      <x:c r="K122" s="2" t="str">
        <x:f>'Invoices'!F122</x:f>
        <x:v>No</x:v>
      </x:c>
      <x:c r="L122" s="10" t="n">
        <x:f>'Start Here'!$B$5</x:f>
        <x:v>46295</x:v>
      </x:c>
    </x:row>
    <x:row r="123" ht="23" customHeight="1">
      <x:c r="A123" s="2" t="str">
        <x:f>'Invoices'!A123</x:f>
        <x:v>INV00119</x:v>
      </x:c>
      <x:c r="B123" s="2" t="str">
        <x:f>'Invoices'!B123</x:f>
        <x:v>C003</x:v>
      </x:c>
      <x:c r="C123" s="10" t="n">
        <x:f>'Invoices'!C123</x:f>
        <x:v>46295</x:v>
      </x:c>
      <x:c r="D123" s="10" t="n">
        <x:f>'Invoices'!D123</x:f>
        <x:v>46310</x:v>
      </x:c>
      <x:c r="E123" s="11" t="n">
        <x:f>'Invoices'!E123</x:f>
        <x:v>13889.35</x:v>
      </x:c>
      <x:c r="F123" s="11" t="n">
        <x:f>SUMIFS('Payments'!$E$5:$E$429,'Payments'!$B$5:$B$429,A123,'Payments'!$D$5:$D$429,"&lt;="&amp;'Start Here'!$B$5)</x:f>
        <x:v>0</x:v>
      </x:c>
      <x:c r="G123" s="11" t="n">
        <x:f>ROUND(E123-F123,2)</x:f>
        <x:v>13889.35</x:v>
      </x:c>
      <x:c r="H123" s="2" t="n">
        <x:f>IF(G123&gt;0,MAX(0,'Start Here'!$B$5-D123),0)</x:f>
        <x:v>0</x:v>
      </x:c>
      <x:c r="I123" s="2" t="str">
        <x:f>IF(G123=0,"Paid",IF(H123=0,"Current",IF(H123&lt;=30,"1-30",IF(H123&lt;=60,"31-60",IF(H123&lt;=90,"61-90","91+")))))</x:f>
        <x:v>Current</x:v>
      </x:c>
      <x:c r="J123" s="2" t="n">
        <x:f>IF(G123=0,0,IF(H123=0,1,IF(H123&lt;=30,2,IF(H123&lt;=60,3,IF(H123&lt;=90,4,5)))))</x:f>
        <x:v>1</x:v>
      </x:c>
      <x:c r="K123" s="2" t="str">
        <x:f>'Invoices'!F123</x:f>
        <x:v>No</x:v>
      </x:c>
      <x:c r="L123" s="10" t="n">
        <x:f>'Start Here'!$B$5</x:f>
        <x:v>46295</x:v>
      </x:c>
    </x:row>
    <x:row r="124" ht="23" customHeight="1">
      <x:c r="A124" s="2" t="str">
        <x:f>'Invoices'!A124</x:f>
        <x:v>INV00120</x:v>
      </x:c>
      <x:c r="B124" s="2" t="str">
        <x:f>'Invoices'!B124</x:f>
        <x:v>C016</x:v>
      </x:c>
      <x:c r="C124" s="10" t="n">
        <x:f>'Invoices'!C124</x:f>
        <x:v>46173</x:v>
      </x:c>
      <x:c r="D124" s="10" t="n">
        <x:f>'Invoices'!D124</x:f>
        <x:v>46203</x:v>
      </x:c>
      <x:c r="E124" s="11" t="n">
        <x:f>'Invoices'!E124</x:f>
        <x:v>5782.91</x:v>
      </x:c>
      <x:c r="F124" s="11" t="n">
        <x:f>SUMIFS('Payments'!$E$5:$E$429,'Payments'!$B$5:$B$429,A124,'Payments'!$D$5:$D$429,"&lt;="&amp;'Start Here'!$B$5)</x:f>
        <x:v>5782.91</x:v>
      </x:c>
      <x:c r="G124" s="11" t="n">
        <x:f>ROUND(E124-F124,2)</x:f>
        <x:v>0</x:v>
      </x:c>
      <x:c r="H124" s="2" t="n">
        <x:f>IF(G124&gt;0,MAX(0,'Start Here'!$B$5-D124),0)</x:f>
        <x:v>0</x:v>
      </x:c>
      <x:c r="I124" s="2" t="str">
        <x:f>IF(G124=0,"Paid",IF(H124=0,"Current",IF(H124&lt;=30,"1-30",IF(H124&lt;=60,"31-60",IF(H124&lt;=90,"61-90","91+")))))</x:f>
        <x:v>Paid</x:v>
      </x:c>
      <x:c r="J124" s="2" t="n">
        <x:f>IF(G124=0,0,IF(H124=0,1,IF(H124&lt;=30,2,IF(H124&lt;=60,3,IF(H124&lt;=90,4,5)))))</x:f>
        <x:v>0</x:v>
      </x:c>
      <x:c r="K124" s="2" t="str">
        <x:f>'Invoices'!F124</x:f>
        <x:v>No</x:v>
      </x:c>
      <x:c r="L124" s="10" t="n">
        <x:f>'Start Here'!$B$5</x:f>
        <x:v>46295</x:v>
      </x:c>
    </x:row>
    <x:row r="125" ht="23" customHeight="1">
      <x:c r="A125" s="2" t="str">
        <x:f>'Invoices'!A125</x:f>
        <x:v>INV00121</x:v>
      </x:c>
      <x:c r="B125" s="2" t="str">
        <x:f>'Invoices'!B125</x:f>
        <x:v>C008</x:v>
      </x:c>
      <x:c r="C125" s="10" t="n">
        <x:f>'Invoices'!C125</x:f>
        <x:v>46235</x:v>
      </x:c>
      <x:c r="D125" s="10" t="n">
        <x:f>'Invoices'!D125</x:f>
        <x:v>46295</x:v>
      </x:c>
      <x:c r="E125" s="11" t="n">
        <x:f>'Invoices'!E125</x:f>
        <x:v>473.17</x:v>
      </x:c>
      <x:c r="F125" s="11" t="n">
        <x:f>SUMIFS('Payments'!$E$5:$E$429,'Payments'!$B$5:$B$429,A125,'Payments'!$D$5:$D$429,"&lt;="&amp;'Start Here'!$B$5)</x:f>
        <x:v>0</x:v>
      </x:c>
      <x:c r="G125" s="11" t="n">
        <x:f>ROUND(E125-F125,2)</x:f>
        <x:v>473.17</x:v>
      </x:c>
      <x:c r="H125" s="2" t="n">
        <x:f>IF(G125&gt;0,MAX(0,'Start Here'!$B$5-D125),0)</x:f>
        <x:v>0</x:v>
      </x:c>
      <x:c r="I125" s="2" t="str">
        <x:f>IF(G125=0,"Paid",IF(H125=0,"Current",IF(H125&lt;=30,"1-30",IF(H125&lt;=60,"31-60",IF(H125&lt;=90,"61-90","91+")))))</x:f>
        <x:v>Current</x:v>
      </x:c>
      <x:c r="J125" s="2" t="n">
        <x:f>IF(G125=0,0,IF(H125=0,1,IF(H125&lt;=30,2,IF(H125&lt;=60,3,IF(H125&lt;=90,4,5)))))</x:f>
        <x:v>1</x:v>
      </x:c>
      <x:c r="K125" s="2" t="str">
        <x:f>'Invoices'!F125</x:f>
        <x:v>No</x:v>
      </x:c>
      <x:c r="L125" s="10" t="n">
        <x:f>'Start Here'!$B$5</x:f>
        <x:v>46295</x:v>
      </x:c>
    </x:row>
    <x:row r="126" ht="23" customHeight="1">
      <x:c r="A126" s="2" t="str">
        <x:f>'Invoices'!A126</x:f>
        <x:v>INV00122</x:v>
      </x:c>
      <x:c r="B126" s="2" t="str">
        <x:f>'Invoices'!B126</x:f>
        <x:v>C027</x:v>
      </x:c>
      <x:c r="C126" s="10" t="n">
        <x:f>'Invoices'!C126</x:f>
        <x:v>46069</x:v>
      </x:c>
      <x:c r="D126" s="10" t="n">
        <x:f>'Invoices'!D126</x:f>
        <x:v>46114</x:v>
      </x:c>
      <x:c r="E126" s="11" t="n">
        <x:f>'Invoices'!E126</x:f>
        <x:v>7091.58</x:v>
      </x:c>
      <x:c r="F126" s="11" t="n">
        <x:f>SUMIFS('Payments'!$E$5:$E$429,'Payments'!$B$5:$B$429,A126,'Payments'!$D$5:$D$429,"&lt;="&amp;'Start Here'!$B$5)</x:f>
        <x:v>7091.58</x:v>
      </x:c>
      <x:c r="G126" s="11" t="n">
        <x:f>ROUND(E126-F126,2)</x:f>
        <x:v>0</x:v>
      </x:c>
      <x:c r="H126" s="2" t="n">
        <x:f>IF(G126&gt;0,MAX(0,'Start Here'!$B$5-D126),0)</x:f>
        <x:v>0</x:v>
      </x:c>
      <x:c r="I126" s="2" t="str">
        <x:f>IF(G126=0,"Paid",IF(H126=0,"Current",IF(H126&lt;=30,"1-30",IF(H126&lt;=60,"31-60",IF(H126&lt;=90,"61-90","91+")))))</x:f>
        <x:v>Paid</x:v>
      </x:c>
      <x:c r="J126" s="2" t="n">
        <x:f>IF(G126=0,0,IF(H126=0,1,IF(H126&lt;=30,2,IF(H126&lt;=60,3,IF(H126&lt;=90,4,5)))))</x:f>
        <x:v>0</x:v>
      </x:c>
      <x:c r="K126" s="2" t="str">
        <x:f>'Invoices'!F126</x:f>
        <x:v>No</x:v>
      </x:c>
      <x:c r="L126" s="10" t="n">
        <x:f>'Start Here'!$B$5</x:f>
        <x:v>46295</x:v>
      </x:c>
    </x:row>
    <x:row r="127" ht="23" customHeight="1">
      <x:c r="A127" s="2" t="str">
        <x:f>'Invoices'!A127</x:f>
        <x:v>INV00123</x:v>
      </x:c>
      <x:c r="B127" s="2" t="str">
        <x:f>'Invoices'!B127</x:f>
        <x:v>C040</x:v>
      </x:c>
      <x:c r="C127" s="10" t="n">
        <x:f>'Invoices'!C127</x:f>
        <x:v>46146</x:v>
      </x:c>
      <x:c r="D127" s="10" t="n">
        <x:f>'Invoices'!D127</x:f>
        <x:v>46206</x:v>
      </x:c>
      <x:c r="E127" s="11" t="n">
        <x:f>'Invoices'!E127</x:f>
        <x:v>9183.25</x:v>
      </x:c>
      <x:c r="F127" s="11" t="n">
        <x:f>SUMIFS('Payments'!$E$5:$E$429,'Payments'!$B$5:$B$429,A127,'Payments'!$D$5:$D$429,"&lt;="&amp;'Start Here'!$B$5)</x:f>
        <x:v>0</x:v>
      </x:c>
      <x:c r="G127" s="11" t="n">
        <x:f>ROUND(E127-F127,2)</x:f>
        <x:v>9183.25</x:v>
      </x:c>
      <x:c r="H127" s="2" t="n">
        <x:f>IF(G127&gt;0,MAX(0,'Start Here'!$B$5-D127),0)</x:f>
        <x:v>89</x:v>
      </x:c>
      <x:c r="I127" s="2" t="str">
        <x:f>IF(G127=0,"Paid",IF(H127=0,"Current",IF(H127&lt;=30,"1-30",IF(H127&lt;=60,"31-60",IF(H127&lt;=90,"61-90","91+")))))</x:f>
        <x:v>61-90</x:v>
      </x:c>
      <x:c r="J127" s="2" t="n">
        <x:f>IF(G127=0,0,IF(H127=0,1,IF(H127&lt;=30,2,IF(H127&lt;=60,3,IF(H127&lt;=90,4,5)))))</x:f>
        <x:v>4</x:v>
      </x:c>
      <x:c r="K127" s="2" t="str">
        <x:f>'Invoices'!F127</x:f>
        <x:v>No</x:v>
      </x:c>
      <x:c r="L127" s="10" t="n">
        <x:f>'Start Here'!$B$5</x:f>
        <x:v>46295</x:v>
      </x:c>
    </x:row>
    <x:row r="128" ht="23" customHeight="1">
      <x:c r="A128" s="2" t="str">
        <x:f>'Invoices'!A128</x:f>
        <x:v>INV00124</x:v>
      </x:c>
      <x:c r="B128" s="2" t="str">
        <x:f>'Invoices'!B128</x:f>
        <x:v>C033</x:v>
      </x:c>
      <x:c r="C128" s="10" t="n">
        <x:f>'Invoices'!C128</x:f>
        <x:v>46032</x:v>
      </x:c>
      <x:c r="D128" s="10" t="n">
        <x:f>'Invoices'!D128</x:f>
        <x:v>46047</x:v>
      </x:c>
      <x:c r="E128" s="11" t="n">
        <x:f>'Invoices'!E128</x:f>
        <x:v>1082.86</x:v>
      </x:c>
      <x:c r="F128" s="11" t="n">
        <x:f>SUMIFS('Payments'!$E$5:$E$429,'Payments'!$B$5:$B$429,A128,'Payments'!$D$5:$D$429,"&lt;="&amp;'Start Here'!$B$5)</x:f>
        <x:v>1082.86</x:v>
      </x:c>
      <x:c r="G128" s="11" t="n">
        <x:f>ROUND(E128-F128,2)</x:f>
        <x:v>0</x:v>
      </x:c>
      <x:c r="H128" s="2" t="n">
        <x:f>IF(G128&gt;0,MAX(0,'Start Here'!$B$5-D128),0)</x:f>
        <x:v>0</x:v>
      </x:c>
      <x:c r="I128" s="2" t="str">
        <x:f>IF(G128=0,"Paid",IF(H128=0,"Current",IF(H128&lt;=30,"1-30",IF(H128&lt;=60,"31-60",IF(H128&lt;=90,"61-90","91+")))))</x:f>
        <x:v>Paid</x:v>
      </x:c>
      <x:c r="J128" s="2" t="n">
        <x:f>IF(G128=0,0,IF(H128=0,1,IF(H128&lt;=30,2,IF(H128&lt;=60,3,IF(H128&lt;=90,4,5)))))</x:f>
        <x:v>0</x:v>
      </x:c>
      <x:c r="K128" s="2" t="str">
        <x:f>'Invoices'!F128</x:f>
        <x:v>No</x:v>
      </x:c>
      <x:c r="L128" s="10" t="n">
        <x:f>'Start Here'!$B$5</x:f>
        <x:v>46295</x:v>
      </x:c>
    </x:row>
    <x:row r="129" ht="23" customHeight="1">
      <x:c r="A129" s="2" t="str">
        <x:f>'Invoices'!A129</x:f>
        <x:v>INV00125</x:v>
      </x:c>
      <x:c r="B129" s="2" t="str">
        <x:f>'Invoices'!B129</x:f>
        <x:v>C001</x:v>
      </x:c>
      <x:c r="C129" s="10" t="n">
        <x:f>'Invoices'!C129</x:f>
        <x:v>46218</x:v>
      </x:c>
      <x:c r="D129" s="10" t="n">
        <x:f>'Invoices'!D129</x:f>
        <x:v>46248</x:v>
      </x:c>
      <x:c r="E129" s="11" t="n">
        <x:f>'Invoices'!E129</x:f>
        <x:v>3214.88</x:v>
      </x:c>
      <x:c r="F129" s="11" t="n">
        <x:f>SUMIFS('Payments'!$E$5:$E$429,'Payments'!$B$5:$B$429,A129,'Payments'!$D$5:$D$429,"&lt;="&amp;'Start Here'!$B$5)</x:f>
        <x:v>3214.88</x:v>
      </x:c>
      <x:c r="G129" s="11" t="n">
        <x:f>ROUND(E129-F129,2)</x:f>
        <x:v>0</x:v>
      </x:c>
      <x:c r="H129" s="2" t="n">
        <x:f>IF(G129&gt;0,MAX(0,'Start Here'!$B$5-D129),0)</x:f>
        <x:v>0</x:v>
      </x:c>
      <x:c r="I129" s="2" t="str">
        <x:f>IF(G129=0,"Paid",IF(H129=0,"Current",IF(H129&lt;=30,"1-30",IF(H129&lt;=60,"31-60",IF(H129&lt;=90,"61-90","91+")))))</x:f>
        <x:v>Paid</x:v>
      </x:c>
      <x:c r="J129" s="2" t="n">
        <x:f>IF(G129=0,0,IF(H129=0,1,IF(H129&lt;=30,2,IF(H129&lt;=60,3,IF(H129&lt;=90,4,5)))))</x:f>
        <x:v>0</x:v>
      </x:c>
      <x:c r="K129" s="2" t="str">
        <x:f>'Invoices'!F129</x:f>
        <x:v>No</x:v>
      </x:c>
      <x:c r="L129" s="10" t="n">
        <x:f>'Start Here'!$B$5</x:f>
        <x:v>46295</x:v>
      </x:c>
    </x:row>
    <x:row r="130" ht="23" customHeight="1">
      <x:c r="A130" s="2" t="str">
        <x:f>'Invoices'!A130</x:f>
        <x:v>INV00126</x:v>
      </x:c>
      <x:c r="B130" s="2" t="str">
        <x:f>'Invoices'!B130</x:f>
        <x:v>C018</x:v>
      </x:c>
      <x:c r="C130" s="10" t="n">
        <x:f>'Invoices'!C130</x:f>
        <x:v>46035</x:v>
      </x:c>
      <x:c r="D130" s="10" t="n">
        <x:f>'Invoices'!D130</x:f>
        <x:v>46050</x:v>
      </x:c>
      <x:c r="E130" s="11" t="n">
        <x:f>'Invoices'!E130</x:f>
        <x:v>8758.58</x:v>
      </x:c>
      <x:c r="F130" s="11" t="n">
        <x:f>SUMIFS('Payments'!$E$5:$E$429,'Payments'!$B$5:$B$429,A130,'Payments'!$D$5:$D$429,"&lt;="&amp;'Start Here'!$B$5)</x:f>
        <x:v>8758.58</x:v>
      </x:c>
      <x:c r="G130" s="11" t="n">
        <x:f>ROUND(E130-F130,2)</x:f>
        <x:v>0</x:v>
      </x:c>
      <x:c r="H130" s="2" t="n">
        <x:f>IF(G130&gt;0,MAX(0,'Start Here'!$B$5-D130),0)</x:f>
        <x:v>0</x:v>
      </x:c>
      <x:c r="I130" s="2" t="str">
        <x:f>IF(G130=0,"Paid",IF(H130=0,"Current",IF(H130&lt;=30,"1-30",IF(H130&lt;=60,"31-60",IF(H130&lt;=90,"61-90","91+")))))</x:f>
        <x:v>Paid</x:v>
      </x:c>
      <x:c r="J130" s="2" t="n">
        <x:f>IF(G130=0,0,IF(H130=0,1,IF(H130&lt;=30,2,IF(H130&lt;=60,3,IF(H130&lt;=90,4,5)))))</x:f>
        <x:v>0</x:v>
      </x:c>
      <x:c r="K130" s="2" t="str">
        <x:f>'Invoices'!F130</x:f>
        <x:v>No</x:v>
      </x:c>
      <x:c r="L130" s="10" t="n">
        <x:f>'Start Here'!$B$5</x:f>
        <x:v>46295</x:v>
      </x:c>
    </x:row>
    <x:row r="131" ht="23" customHeight="1">
      <x:c r="A131" s="2" t="str">
        <x:f>'Invoices'!A131</x:f>
        <x:v>INV00127</x:v>
      </x:c>
      <x:c r="B131" s="2" t="str">
        <x:f>'Invoices'!B131</x:f>
        <x:v>C026</x:v>
      </x:c>
      <x:c r="C131" s="10" t="n">
        <x:f>'Invoices'!C131</x:f>
        <x:v>46135</x:v>
      </x:c>
      <x:c r="D131" s="10" t="n">
        <x:f>'Invoices'!D131</x:f>
        <x:v>46165</x:v>
      </x:c>
      <x:c r="E131" s="11" t="n">
        <x:f>'Invoices'!E131</x:f>
        <x:v>18433.17</x:v>
      </x:c>
      <x:c r="F131" s="11" t="n">
        <x:f>SUMIFS('Payments'!$E$5:$E$429,'Payments'!$B$5:$B$429,A131,'Payments'!$D$5:$D$429,"&lt;="&amp;'Start Here'!$B$5)</x:f>
        <x:v>18433.17</x:v>
      </x:c>
      <x:c r="G131" s="11" t="n">
        <x:f>ROUND(E131-F131,2)</x:f>
        <x:v>0</x:v>
      </x:c>
      <x:c r="H131" s="2" t="n">
        <x:f>IF(G131&gt;0,MAX(0,'Start Here'!$B$5-D131),0)</x:f>
        <x:v>0</x:v>
      </x:c>
      <x:c r="I131" s="2" t="str">
        <x:f>IF(G131=0,"Paid",IF(H131=0,"Current",IF(H131&lt;=30,"1-30",IF(H131&lt;=60,"31-60",IF(H131&lt;=90,"61-90","91+")))))</x:f>
        <x:v>Paid</x:v>
      </x:c>
      <x:c r="J131" s="2" t="n">
        <x:f>IF(G131=0,0,IF(H131=0,1,IF(H131&lt;=30,2,IF(H131&lt;=60,3,IF(H131&lt;=90,4,5)))))</x:f>
        <x:v>0</x:v>
      </x:c>
      <x:c r="K131" s="2" t="str">
        <x:f>'Invoices'!F131</x:f>
        <x:v>No</x:v>
      </x:c>
      <x:c r="L131" s="10" t="n">
        <x:f>'Start Here'!$B$5</x:f>
        <x:v>46295</x:v>
      </x:c>
    </x:row>
    <x:row r="132" ht="23" customHeight="1">
      <x:c r="A132" s="2" t="str">
        <x:f>'Invoices'!A132</x:f>
        <x:v>INV00128</x:v>
      </x:c>
      <x:c r="B132" s="2" t="str">
        <x:f>'Invoices'!B132</x:f>
        <x:v>C003</x:v>
      </x:c>
      <x:c r="C132" s="10" t="n">
        <x:f>'Invoices'!C132</x:f>
        <x:v>46245</x:v>
      </x:c>
      <x:c r="D132" s="10" t="n">
        <x:f>'Invoices'!D132</x:f>
        <x:v>46305</x:v>
      </x:c>
      <x:c r="E132" s="11" t="n">
        <x:f>'Invoices'!E132</x:f>
        <x:v>9086.92</x:v>
      </x:c>
      <x:c r="F132" s="11" t="n">
        <x:f>SUMIFS('Payments'!$E$5:$E$429,'Payments'!$B$5:$B$429,A132,'Payments'!$D$5:$D$429,"&lt;="&amp;'Start Here'!$B$5)</x:f>
        <x:v>0</x:v>
      </x:c>
      <x:c r="G132" s="11" t="n">
        <x:f>ROUND(E132-F132,2)</x:f>
        <x:v>9086.92</x:v>
      </x:c>
      <x:c r="H132" s="2" t="n">
        <x:f>IF(G132&gt;0,MAX(0,'Start Here'!$B$5-D132),0)</x:f>
        <x:v>0</x:v>
      </x:c>
      <x:c r="I132" s="2" t="str">
        <x:f>IF(G132=0,"Paid",IF(H132=0,"Current",IF(H132&lt;=30,"1-30",IF(H132&lt;=60,"31-60",IF(H132&lt;=90,"61-90","91+")))))</x:f>
        <x:v>Current</x:v>
      </x:c>
      <x:c r="J132" s="2" t="n">
        <x:f>IF(G132=0,0,IF(H132=0,1,IF(H132&lt;=30,2,IF(H132&lt;=60,3,IF(H132&lt;=90,4,5)))))</x:f>
        <x:v>1</x:v>
      </x:c>
      <x:c r="K132" s="2" t="str">
        <x:f>'Invoices'!F132</x:f>
        <x:v>No</x:v>
      </x:c>
      <x:c r="L132" s="10" t="n">
        <x:f>'Start Here'!$B$5</x:f>
        <x:v>46295</x:v>
      </x:c>
    </x:row>
    <x:row r="133" ht="23" customHeight="1">
      <x:c r="A133" s="2" t="str">
        <x:f>'Invoices'!A133</x:f>
        <x:v>INV00129</x:v>
      </x:c>
      <x:c r="B133" s="2" t="str">
        <x:f>'Invoices'!B133</x:f>
        <x:v>C021</x:v>
      </x:c>
      <x:c r="C133" s="10" t="n">
        <x:f>'Invoices'!C133</x:f>
        <x:v>46174</x:v>
      </x:c>
      <x:c r="D133" s="10" t="n">
        <x:f>'Invoices'!D133</x:f>
        <x:v>46204</x:v>
      </x:c>
      <x:c r="E133" s="11" t="n">
        <x:f>'Invoices'!E133</x:f>
        <x:v>9233.01</x:v>
      </x:c>
      <x:c r="F133" s="11" t="n">
        <x:f>SUMIFS('Payments'!$E$5:$E$429,'Payments'!$B$5:$B$429,A133,'Payments'!$D$5:$D$429,"&lt;="&amp;'Start Here'!$B$5)</x:f>
        <x:v>9233.01</x:v>
      </x:c>
      <x:c r="G133" s="11" t="n">
        <x:f>ROUND(E133-F133,2)</x:f>
        <x:v>0</x:v>
      </x:c>
      <x:c r="H133" s="2" t="n">
        <x:f>IF(G133&gt;0,MAX(0,'Start Here'!$B$5-D133),0)</x:f>
        <x:v>0</x:v>
      </x:c>
      <x:c r="I133" s="2" t="str">
        <x:f>IF(G133=0,"Paid",IF(H133=0,"Current",IF(H133&lt;=30,"1-30",IF(H133&lt;=60,"31-60",IF(H133&lt;=90,"61-90","91+")))))</x:f>
        <x:v>Paid</x:v>
      </x:c>
      <x:c r="J133" s="2" t="n">
        <x:f>IF(G133=0,0,IF(H133=0,1,IF(H133&lt;=30,2,IF(H133&lt;=60,3,IF(H133&lt;=90,4,5)))))</x:f>
        <x:v>0</x:v>
      </x:c>
      <x:c r="K133" s="2" t="str">
        <x:f>'Invoices'!F133</x:f>
        <x:v>No</x:v>
      </x:c>
      <x:c r="L133" s="10" t="n">
        <x:f>'Start Here'!$B$5</x:f>
        <x:v>46295</x:v>
      </x:c>
    </x:row>
    <x:row r="134" ht="23" customHeight="1">
      <x:c r="A134" s="2" t="str">
        <x:f>'Invoices'!A134</x:f>
        <x:v>INV00130</x:v>
      </x:c>
      <x:c r="B134" s="2" t="str">
        <x:f>'Invoices'!B134</x:f>
        <x:v>C019</x:v>
      </x:c>
      <x:c r="C134" s="10" t="n">
        <x:f>'Invoices'!C134</x:f>
        <x:v>46175</x:v>
      </x:c>
      <x:c r="D134" s="10" t="n">
        <x:f>'Invoices'!D134</x:f>
        <x:v>46190</x:v>
      </x:c>
      <x:c r="E134" s="11" t="n">
        <x:f>'Invoices'!E134</x:f>
        <x:v>16442.57</x:v>
      </x:c>
      <x:c r="F134" s="11" t="n">
        <x:f>SUMIFS('Payments'!$E$5:$E$429,'Payments'!$B$5:$B$429,A134,'Payments'!$D$5:$D$429,"&lt;="&amp;'Start Here'!$B$5)</x:f>
        <x:v>0</x:v>
      </x:c>
      <x:c r="G134" s="11" t="n">
        <x:f>ROUND(E134-F134,2)</x:f>
        <x:v>16442.57</x:v>
      </x:c>
      <x:c r="H134" s="2" t="n">
        <x:f>IF(G134&gt;0,MAX(0,'Start Here'!$B$5-D134),0)</x:f>
        <x:v>105</x:v>
      </x:c>
      <x:c r="I134" s="2" t="str">
        <x:f>IF(G134=0,"Paid",IF(H134=0,"Current",IF(H134&lt;=30,"1-30",IF(H134&lt;=60,"31-60",IF(H134&lt;=90,"61-90","91+")))))</x:f>
        <x:v>91+</x:v>
      </x:c>
      <x:c r="J134" s="2" t="n">
        <x:f>IF(G134=0,0,IF(H134=0,1,IF(H134&lt;=30,2,IF(H134&lt;=60,3,IF(H134&lt;=90,4,5)))))</x:f>
        <x:v>5</x:v>
      </x:c>
      <x:c r="K134" s="2" t="str">
        <x:f>'Invoices'!F134</x:f>
        <x:v>No</x:v>
      </x:c>
      <x:c r="L134" s="10" t="n">
        <x:f>'Start Here'!$B$5</x:f>
        <x:v>46295</x:v>
      </x:c>
    </x:row>
    <x:row r="135" ht="23" customHeight="1">
      <x:c r="A135" s="2" t="str">
        <x:f>'Invoices'!A135</x:f>
        <x:v>INV00131</x:v>
      </x:c>
      <x:c r="B135" s="2" t="str">
        <x:f>'Invoices'!B135</x:f>
        <x:v>C018</x:v>
      </x:c>
      <x:c r="C135" s="10" t="n">
        <x:f>'Invoices'!C135</x:f>
        <x:v>46171</x:v>
      </x:c>
      <x:c r="D135" s="10" t="n">
        <x:f>'Invoices'!D135</x:f>
        <x:v>46216</x:v>
      </x:c>
      <x:c r="E135" s="11" t="n">
        <x:f>'Invoices'!E135</x:f>
        <x:v>12281.29</x:v>
      </x:c>
      <x:c r="F135" s="11" t="n">
        <x:f>SUMIFS('Payments'!$E$5:$E$429,'Payments'!$B$5:$B$429,A135,'Payments'!$D$5:$D$429,"&lt;="&amp;'Start Here'!$B$5)</x:f>
        <x:v>0</x:v>
      </x:c>
      <x:c r="G135" s="11" t="n">
        <x:f>ROUND(E135-F135,2)</x:f>
        <x:v>12281.29</x:v>
      </x:c>
      <x:c r="H135" s="2" t="n">
        <x:f>IF(G135&gt;0,MAX(0,'Start Here'!$B$5-D135),0)</x:f>
        <x:v>79</x:v>
      </x:c>
      <x:c r="I135" s="2" t="str">
        <x:f>IF(G135=0,"Paid",IF(H135=0,"Current",IF(H135&lt;=30,"1-30",IF(H135&lt;=60,"31-60",IF(H135&lt;=90,"61-90","91+")))))</x:f>
        <x:v>61-90</x:v>
      </x:c>
      <x:c r="J135" s="2" t="n">
        <x:f>IF(G135=0,0,IF(H135=0,1,IF(H135&lt;=30,2,IF(H135&lt;=60,3,IF(H135&lt;=90,4,5)))))</x:f>
        <x:v>4</x:v>
      </x:c>
      <x:c r="K135" s="2" t="str">
        <x:f>'Invoices'!F135</x:f>
        <x:v>No</x:v>
      </x:c>
      <x:c r="L135" s="10" t="n">
        <x:f>'Start Here'!$B$5</x:f>
        <x:v>46295</x:v>
      </x:c>
    </x:row>
    <x:row r="136" ht="23" customHeight="1">
      <x:c r="A136" s="2" t="str">
        <x:f>'Invoices'!A136</x:f>
        <x:v>INV00132</x:v>
      </x:c>
      <x:c r="B136" s="2" t="str">
        <x:f>'Invoices'!B136</x:f>
        <x:v>C003</x:v>
      </x:c>
      <x:c r="C136" s="10" t="n">
        <x:f>'Invoices'!C136</x:f>
        <x:v>46220</x:v>
      </x:c>
      <x:c r="D136" s="10" t="n">
        <x:f>'Invoices'!D136</x:f>
        <x:v>46250</x:v>
      </x:c>
      <x:c r="E136" s="11" t="n">
        <x:f>'Invoices'!E136</x:f>
        <x:v>13963.68</x:v>
      </x:c>
      <x:c r="F136" s="11" t="n">
        <x:f>SUMIFS('Payments'!$E$5:$E$429,'Payments'!$B$5:$B$429,A136,'Payments'!$D$5:$D$429,"&lt;="&amp;'Start Here'!$B$5)</x:f>
        <x:v>0</x:v>
      </x:c>
      <x:c r="G136" s="11" t="n">
        <x:f>ROUND(E136-F136,2)</x:f>
        <x:v>13963.68</x:v>
      </x:c>
      <x:c r="H136" s="2" t="n">
        <x:f>IF(G136&gt;0,MAX(0,'Start Here'!$B$5-D136),0)</x:f>
        <x:v>45</x:v>
      </x:c>
      <x:c r="I136" s="2" t="str">
        <x:f>IF(G136=0,"Paid",IF(H136=0,"Current",IF(H136&lt;=30,"1-30",IF(H136&lt;=60,"31-60",IF(H136&lt;=90,"61-90","91+")))))</x:f>
        <x:v>31-60</x:v>
      </x:c>
      <x:c r="J136" s="2" t="n">
        <x:f>IF(G136=0,0,IF(H136=0,1,IF(H136&lt;=30,2,IF(H136&lt;=60,3,IF(H136&lt;=90,4,5)))))</x:f>
        <x:v>3</x:v>
      </x:c>
      <x:c r="K136" s="2" t="str">
        <x:f>'Invoices'!F136</x:f>
        <x:v>Yes</x:v>
      </x:c>
      <x:c r="L136" s="10" t="n">
        <x:f>'Start Here'!$B$5</x:f>
        <x:v>46295</x:v>
      </x:c>
    </x:row>
    <x:row r="137" ht="23" customHeight="1">
      <x:c r="A137" s="2" t="str">
        <x:f>'Invoices'!A137</x:f>
        <x:v>INV00133</x:v>
      </x:c>
      <x:c r="B137" s="2" t="str">
        <x:f>'Invoices'!B137</x:f>
        <x:v>C031</x:v>
      </x:c>
      <x:c r="C137" s="10" t="n">
        <x:f>'Invoices'!C137</x:f>
        <x:v>46191</x:v>
      </x:c>
      <x:c r="D137" s="10" t="n">
        <x:f>'Invoices'!D137</x:f>
        <x:v>46236</x:v>
      </x:c>
      <x:c r="E137" s="11" t="n">
        <x:f>'Invoices'!E137</x:f>
        <x:v>7703.05</x:v>
      </x:c>
      <x:c r="F137" s="11" t="n">
        <x:f>SUMIFS('Payments'!$E$5:$E$429,'Payments'!$B$5:$B$429,A137,'Payments'!$D$5:$D$429,"&lt;="&amp;'Start Here'!$B$5)</x:f>
        <x:v>7703.05</x:v>
      </x:c>
      <x:c r="G137" s="11" t="n">
        <x:f>ROUND(E137-F137,2)</x:f>
        <x:v>0</x:v>
      </x:c>
      <x:c r="H137" s="2" t="n">
        <x:f>IF(G137&gt;0,MAX(0,'Start Here'!$B$5-D137),0)</x:f>
        <x:v>0</x:v>
      </x:c>
      <x:c r="I137" s="2" t="str">
        <x:f>IF(G137=0,"Paid",IF(H137=0,"Current",IF(H137&lt;=30,"1-30",IF(H137&lt;=60,"31-60",IF(H137&lt;=90,"61-90","91+")))))</x:f>
        <x:v>Paid</x:v>
      </x:c>
      <x:c r="J137" s="2" t="n">
        <x:f>IF(G137=0,0,IF(H137=0,1,IF(H137&lt;=30,2,IF(H137&lt;=60,3,IF(H137&lt;=90,4,5)))))</x:f>
        <x:v>0</x:v>
      </x:c>
      <x:c r="K137" s="2" t="str">
        <x:f>'Invoices'!F137</x:f>
        <x:v>No</x:v>
      </x:c>
      <x:c r="L137" s="10" t="n">
        <x:f>'Start Here'!$B$5</x:f>
        <x:v>46295</x:v>
      </x:c>
    </x:row>
    <x:row r="138" ht="23" customHeight="1">
      <x:c r="A138" s="2" t="str">
        <x:f>'Invoices'!A138</x:f>
        <x:v>INV00134</x:v>
      </x:c>
      <x:c r="B138" s="2" t="str">
        <x:f>'Invoices'!B138</x:f>
        <x:v>C020</x:v>
      </x:c>
      <x:c r="C138" s="10" t="n">
        <x:f>'Invoices'!C138</x:f>
        <x:v>46056</x:v>
      </x:c>
      <x:c r="D138" s="10" t="n">
        <x:f>'Invoices'!D138</x:f>
        <x:v>46086</x:v>
      </x:c>
      <x:c r="E138" s="11" t="n">
        <x:f>'Invoices'!E138</x:f>
        <x:v>16751.01</x:v>
      </x:c>
      <x:c r="F138" s="11" t="n">
        <x:f>SUMIFS('Payments'!$E$5:$E$429,'Payments'!$B$5:$B$429,A138,'Payments'!$D$5:$D$429,"&lt;="&amp;'Start Here'!$B$5)</x:f>
        <x:v>0</x:v>
      </x:c>
      <x:c r="G138" s="11" t="n">
        <x:f>ROUND(E138-F138,2)</x:f>
        <x:v>16751.01</x:v>
      </x:c>
      <x:c r="H138" s="2" t="n">
        <x:f>IF(G138&gt;0,MAX(0,'Start Here'!$B$5-D138),0)</x:f>
        <x:v>209</x:v>
      </x:c>
      <x:c r="I138" s="2" t="str">
        <x:f>IF(G138=0,"Paid",IF(H138=0,"Current",IF(H138&lt;=30,"1-30",IF(H138&lt;=60,"31-60",IF(H138&lt;=90,"61-90","91+")))))</x:f>
        <x:v>91+</x:v>
      </x:c>
      <x:c r="J138" s="2" t="n">
        <x:f>IF(G138=0,0,IF(H138=0,1,IF(H138&lt;=30,2,IF(H138&lt;=60,3,IF(H138&lt;=90,4,5)))))</x:f>
        <x:v>5</x:v>
      </x:c>
      <x:c r="K138" s="2" t="str">
        <x:f>'Invoices'!F138</x:f>
        <x:v>Yes</x:v>
      </x:c>
      <x:c r="L138" s="10" t="n">
        <x:f>'Start Here'!$B$5</x:f>
        <x:v>46295</x:v>
      </x:c>
    </x:row>
    <x:row r="139" ht="23" customHeight="1">
      <x:c r="A139" s="2" t="str">
        <x:f>'Invoices'!A139</x:f>
        <x:v>INV00135</x:v>
      </x:c>
      <x:c r="B139" s="2" t="str">
        <x:f>'Invoices'!B139</x:f>
        <x:v>C001</x:v>
      </x:c>
      <x:c r="C139" s="10" t="n">
        <x:f>'Invoices'!C139</x:f>
        <x:v>46264</x:v>
      </x:c>
      <x:c r="D139" s="10" t="n">
        <x:f>'Invoices'!D139</x:f>
        <x:v>46324</x:v>
      </x:c>
      <x:c r="E139" s="11" t="n">
        <x:f>'Invoices'!E139</x:f>
        <x:v>19164.04</x:v>
      </x:c>
      <x:c r="F139" s="11" t="n">
        <x:f>SUMIFS('Payments'!$E$5:$E$429,'Payments'!$B$5:$B$429,A139,'Payments'!$D$5:$D$429,"&lt;="&amp;'Start Here'!$B$5)</x:f>
        <x:v>0</x:v>
      </x:c>
      <x:c r="G139" s="11" t="n">
        <x:f>ROUND(E139-F139,2)</x:f>
        <x:v>19164.04</x:v>
      </x:c>
      <x:c r="H139" s="2" t="n">
        <x:f>IF(G139&gt;0,MAX(0,'Start Here'!$B$5-D139),0)</x:f>
        <x:v>0</x:v>
      </x:c>
      <x:c r="I139" s="2" t="str">
        <x:f>IF(G139=0,"Paid",IF(H139=0,"Current",IF(H139&lt;=30,"1-30",IF(H139&lt;=60,"31-60",IF(H139&lt;=90,"61-90","91+")))))</x:f>
        <x:v>Current</x:v>
      </x:c>
      <x:c r="J139" s="2" t="n">
        <x:f>IF(G139=0,0,IF(H139=0,1,IF(H139&lt;=30,2,IF(H139&lt;=60,3,IF(H139&lt;=90,4,5)))))</x:f>
        <x:v>1</x:v>
      </x:c>
      <x:c r="K139" s="2" t="str">
        <x:f>'Invoices'!F139</x:f>
        <x:v>No</x:v>
      </x:c>
      <x:c r="L139" s="10" t="n">
        <x:f>'Start Here'!$B$5</x:f>
        <x:v>46295</x:v>
      </x:c>
    </x:row>
    <x:row r="140" ht="23" customHeight="1">
      <x:c r="A140" s="2" t="str">
        <x:f>'Invoices'!A140</x:f>
        <x:v>INV00136</x:v>
      </x:c>
      <x:c r="B140" s="2" t="str">
        <x:f>'Invoices'!B140</x:f>
        <x:v>C020</x:v>
      </x:c>
      <x:c r="C140" s="10" t="n">
        <x:f>'Invoices'!C140</x:f>
        <x:v>46118</x:v>
      </x:c>
      <x:c r="D140" s="10" t="n">
        <x:f>'Invoices'!D140</x:f>
        <x:v>46148</x:v>
      </x:c>
      <x:c r="E140" s="11" t="n">
        <x:f>'Invoices'!E140</x:f>
        <x:v>17579.86</x:v>
      </x:c>
      <x:c r="F140" s="11" t="n">
        <x:f>SUMIFS('Payments'!$E$5:$E$429,'Payments'!$B$5:$B$429,A140,'Payments'!$D$5:$D$429,"&lt;="&amp;'Start Here'!$B$5)</x:f>
        <x:v>17579.86</x:v>
      </x:c>
      <x:c r="G140" s="11" t="n">
        <x:f>ROUND(E140-F140,2)</x:f>
        <x:v>0</x:v>
      </x:c>
      <x:c r="H140" s="2" t="n">
        <x:f>IF(G140&gt;0,MAX(0,'Start Here'!$B$5-D140),0)</x:f>
        <x:v>0</x:v>
      </x:c>
      <x:c r="I140" s="2" t="str">
        <x:f>IF(G140=0,"Paid",IF(H140=0,"Current",IF(H140&lt;=30,"1-30",IF(H140&lt;=60,"31-60",IF(H140&lt;=90,"61-90","91+")))))</x:f>
        <x:v>Paid</x:v>
      </x:c>
      <x:c r="J140" s="2" t="n">
        <x:f>IF(G140=0,0,IF(H140=0,1,IF(H140&lt;=30,2,IF(H140&lt;=60,3,IF(H140&lt;=90,4,5)))))</x:f>
        <x:v>0</x:v>
      </x:c>
      <x:c r="K140" s="2" t="str">
        <x:f>'Invoices'!F140</x:f>
        <x:v>No</x:v>
      </x:c>
      <x:c r="L140" s="10" t="n">
        <x:f>'Start Here'!$B$5</x:f>
        <x:v>46295</x:v>
      </x:c>
    </x:row>
    <x:row r="141" ht="23" customHeight="1">
      <x:c r="A141" s="2" t="str">
        <x:f>'Invoices'!A141</x:f>
        <x:v>INV00137</x:v>
      </x:c>
      <x:c r="B141" s="2" t="str">
        <x:f>'Invoices'!B141</x:f>
        <x:v>C039</x:v>
      </x:c>
      <x:c r="C141" s="10" t="n">
        <x:f>'Invoices'!C141</x:f>
        <x:v>46191</x:v>
      </x:c>
      <x:c r="D141" s="10" t="n">
        <x:f>'Invoices'!D141</x:f>
        <x:v>46221</x:v>
      </x:c>
      <x:c r="E141" s="11" t="n">
        <x:f>'Invoices'!E141</x:f>
        <x:v>2359.5</x:v>
      </x:c>
      <x:c r="F141" s="11" t="n">
        <x:f>SUMIFS('Payments'!$E$5:$E$429,'Payments'!$B$5:$B$429,A141,'Payments'!$D$5:$D$429,"&lt;="&amp;'Start Here'!$B$5)</x:f>
        <x:v>2359.5</x:v>
      </x:c>
      <x:c r="G141" s="11" t="n">
        <x:f>ROUND(E141-F141,2)</x:f>
        <x:v>0</x:v>
      </x:c>
      <x:c r="H141" s="2" t="n">
        <x:f>IF(G141&gt;0,MAX(0,'Start Here'!$B$5-D141),0)</x:f>
        <x:v>0</x:v>
      </x:c>
      <x:c r="I141" s="2" t="str">
        <x:f>IF(G141=0,"Paid",IF(H141=0,"Current",IF(H141&lt;=30,"1-30",IF(H141&lt;=60,"31-60",IF(H141&lt;=90,"61-90","91+")))))</x:f>
        <x:v>Paid</x:v>
      </x:c>
      <x:c r="J141" s="2" t="n">
        <x:f>IF(G141=0,0,IF(H141=0,1,IF(H141&lt;=30,2,IF(H141&lt;=60,3,IF(H141&lt;=90,4,5)))))</x:f>
        <x:v>0</x:v>
      </x:c>
      <x:c r="K141" s="2" t="str">
        <x:f>'Invoices'!F141</x:f>
        <x:v>No</x:v>
      </x:c>
      <x:c r="L141" s="10" t="n">
        <x:f>'Start Here'!$B$5</x:f>
        <x:v>46295</x:v>
      </x:c>
    </x:row>
    <x:row r="142" ht="23" customHeight="1">
      <x:c r="A142" s="2" t="str">
        <x:f>'Invoices'!A142</x:f>
        <x:v>INV00138</x:v>
      </x:c>
      <x:c r="B142" s="2" t="str">
        <x:f>'Invoices'!B142</x:f>
        <x:v>C009</x:v>
      </x:c>
      <x:c r="C142" s="10" t="n">
        <x:f>'Invoices'!C142</x:f>
        <x:v>46163</x:v>
      </x:c>
      <x:c r="D142" s="10" t="n">
        <x:f>'Invoices'!D142</x:f>
        <x:v>46193</x:v>
      </x:c>
      <x:c r="E142" s="11" t="n">
        <x:f>'Invoices'!E142</x:f>
        <x:v>16139.26</x:v>
      </x:c>
      <x:c r="F142" s="11" t="n">
        <x:f>SUMIFS('Payments'!$E$5:$E$429,'Payments'!$B$5:$B$429,A142,'Payments'!$D$5:$D$429,"&lt;="&amp;'Start Here'!$B$5)</x:f>
        <x:v>16139.26</x:v>
      </x:c>
      <x:c r="G142" s="11" t="n">
        <x:f>ROUND(E142-F142,2)</x:f>
        <x:v>0</x:v>
      </x:c>
      <x:c r="H142" s="2" t="n">
        <x:f>IF(G142&gt;0,MAX(0,'Start Here'!$B$5-D142),0)</x:f>
        <x:v>0</x:v>
      </x:c>
      <x:c r="I142" s="2" t="str">
        <x:f>IF(G142=0,"Paid",IF(H142=0,"Current",IF(H142&lt;=30,"1-30",IF(H142&lt;=60,"31-60",IF(H142&lt;=90,"61-90","91+")))))</x:f>
        <x:v>Paid</x:v>
      </x:c>
      <x:c r="J142" s="2" t="n">
        <x:f>IF(G142=0,0,IF(H142=0,1,IF(H142&lt;=30,2,IF(H142&lt;=60,3,IF(H142&lt;=90,4,5)))))</x:f>
        <x:v>0</x:v>
      </x:c>
      <x:c r="K142" s="2" t="str">
        <x:f>'Invoices'!F142</x:f>
        <x:v>No</x:v>
      </x:c>
      <x:c r="L142" s="10" t="n">
        <x:f>'Start Here'!$B$5</x:f>
        <x:v>46295</x:v>
      </x:c>
    </x:row>
    <x:row r="143" ht="23" customHeight="1">
      <x:c r="A143" s="2" t="str">
        <x:f>'Invoices'!A143</x:f>
        <x:v>INV00139</x:v>
      </x:c>
      <x:c r="B143" s="2" t="str">
        <x:f>'Invoices'!B143</x:f>
        <x:v>C029</x:v>
      </x:c>
      <x:c r="C143" s="10" t="n">
        <x:f>'Invoices'!C143</x:f>
        <x:v>46212</x:v>
      </x:c>
      <x:c r="D143" s="10" t="n">
        <x:f>'Invoices'!D143</x:f>
        <x:v>46227</x:v>
      </x:c>
      <x:c r="E143" s="11" t="n">
        <x:f>'Invoices'!E143</x:f>
        <x:v>16664.65</x:v>
      </x:c>
      <x:c r="F143" s="11" t="n">
        <x:f>SUMIFS('Payments'!$E$5:$E$429,'Payments'!$B$5:$B$429,A143,'Payments'!$D$5:$D$429,"&lt;="&amp;'Start Here'!$B$5)</x:f>
        <x:v>16664.65</x:v>
      </x:c>
      <x:c r="G143" s="11" t="n">
        <x:f>ROUND(E143-F143,2)</x:f>
        <x:v>0</x:v>
      </x:c>
      <x:c r="H143" s="2" t="n">
        <x:f>IF(G143&gt;0,MAX(0,'Start Here'!$B$5-D143),0)</x:f>
        <x:v>0</x:v>
      </x:c>
      <x:c r="I143" s="2" t="str">
        <x:f>IF(G143=0,"Paid",IF(H143=0,"Current",IF(H143&lt;=30,"1-30",IF(H143&lt;=60,"31-60",IF(H143&lt;=90,"61-90","91+")))))</x:f>
        <x:v>Paid</x:v>
      </x:c>
      <x:c r="J143" s="2" t="n">
        <x:f>IF(G143=0,0,IF(H143=0,1,IF(H143&lt;=30,2,IF(H143&lt;=60,3,IF(H143&lt;=90,4,5)))))</x:f>
        <x:v>0</x:v>
      </x:c>
      <x:c r="K143" s="2" t="str">
        <x:f>'Invoices'!F143</x:f>
        <x:v>No</x:v>
      </x:c>
      <x:c r="L143" s="10" t="n">
        <x:f>'Start Here'!$B$5</x:f>
        <x:v>46295</x:v>
      </x:c>
    </x:row>
    <x:row r="144" ht="23" customHeight="1">
      <x:c r="A144" s="2" t="str">
        <x:f>'Invoices'!A144</x:f>
        <x:v>INV00140</x:v>
      </x:c>
      <x:c r="B144" s="2" t="str">
        <x:f>'Invoices'!B144</x:f>
        <x:v>C003</x:v>
      </x:c>
      <x:c r="C144" s="10" t="n">
        <x:f>'Invoices'!C144</x:f>
        <x:v>46087</x:v>
      </x:c>
      <x:c r="D144" s="10" t="n">
        <x:f>'Invoices'!D144</x:f>
        <x:v>46132</x:v>
      </x:c>
      <x:c r="E144" s="11" t="n">
        <x:f>'Invoices'!E144</x:f>
        <x:v>1355.39</x:v>
      </x:c>
      <x:c r="F144" s="11" t="n">
        <x:f>SUMIFS('Payments'!$E$5:$E$429,'Payments'!$B$5:$B$429,A144,'Payments'!$D$5:$D$429,"&lt;="&amp;'Start Here'!$B$5)</x:f>
        <x:v>0</x:v>
      </x:c>
      <x:c r="G144" s="11" t="n">
        <x:f>ROUND(E144-F144,2)</x:f>
        <x:v>1355.39</x:v>
      </x:c>
      <x:c r="H144" s="2" t="n">
        <x:f>IF(G144&gt;0,MAX(0,'Start Here'!$B$5-D144),0)</x:f>
        <x:v>163</x:v>
      </x:c>
      <x:c r="I144" s="2" t="str">
        <x:f>IF(G144=0,"Paid",IF(H144=0,"Current",IF(H144&lt;=30,"1-30",IF(H144&lt;=60,"31-60",IF(H144&lt;=90,"61-90","91+")))))</x:f>
        <x:v>91+</x:v>
      </x:c>
      <x:c r="J144" s="2" t="n">
        <x:f>IF(G144=0,0,IF(H144=0,1,IF(H144&lt;=30,2,IF(H144&lt;=60,3,IF(H144&lt;=90,4,5)))))</x:f>
        <x:v>5</x:v>
      </x:c>
      <x:c r="K144" s="2" t="str">
        <x:f>'Invoices'!F144</x:f>
        <x:v>Yes</x:v>
      </x:c>
      <x:c r="L144" s="10" t="n">
        <x:f>'Start Here'!$B$5</x:f>
        <x:v>46295</x:v>
      </x:c>
    </x:row>
    <x:row r="145" ht="23" customHeight="1">
      <x:c r="A145" s="2" t="str">
        <x:f>'Invoices'!A145</x:f>
        <x:v>INV00141</x:v>
      </x:c>
      <x:c r="B145" s="2" t="str">
        <x:f>'Invoices'!B145</x:f>
        <x:v>C027</x:v>
      </x:c>
      <x:c r="C145" s="10" t="n">
        <x:f>'Invoices'!C145</x:f>
        <x:v>46033</x:v>
      </x:c>
      <x:c r="D145" s="10" t="n">
        <x:f>'Invoices'!D145</x:f>
        <x:v>46048</x:v>
      </x:c>
      <x:c r="E145" s="11" t="n">
        <x:f>'Invoices'!E145</x:f>
        <x:v>10123.37</x:v>
      </x:c>
      <x:c r="F145" s="11" t="n">
        <x:f>SUMIFS('Payments'!$E$5:$E$429,'Payments'!$B$5:$B$429,A145,'Payments'!$D$5:$D$429,"&lt;="&amp;'Start Here'!$B$5)</x:f>
        <x:v>0</x:v>
      </x:c>
      <x:c r="G145" s="11" t="n">
        <x:f>ROUND(E145-F145,2)</x:f>
        <x:v>10123.37</x:v>
      </x:c>
      <x:c r="H145" s="2" t="n">
        <x:f>IF(G145&gt;0,MAX(0,'Start Here'!$B$5-D145),0)</x:f>
        <x:v>247</x:v>
      </x:c>
      <x:c r="I145" s="2" t="str">
        <x:f>IF(G145=0,"Paid",IF(H145=0,"Current",IF(H145&lt;=30,"1-30",IF(H145&lt;=60,"31-60",IF(H145&lt;=90,"61-90","91+")))))</x:f>
        <x:v>91+</x:v>
      </x:c>
      <x:c r="J145" s="2" t="n">
        <x:f>IF(G145=0,0,IF(H145=0,1,IF(H145&lt;=30,2,IF(H145&lt;=60,3,IF(H145&lt;=90,4,5)))))</x:f>
        <x:v>5</x:v>
      </x:c>
      <x:c r="K145" s="2" t="str">
        <x:f>'Invoices'!F145</x:f>
        <x:v>No</x:v>
      </x:c>
      <x:c r="L145" s="10" t="n">
        <x:f>'Start Here'!$B$5</x:f>
        <x:v>46295</x:v>
      </x:c>
    </x:row>
    <x:row r="146" ht="23" customHeight="1">
      <x:c r="A146" s="2" t="str">
        <x:f>'Invoices'!A146</x:f>
        <x:v>INV00142</x:v>
      </x:c>
      <x:c r="B146" s="2" t="str">
        <x:f>'Invoices'!B146</x:f>
        <x:v>C005</x:v>
      </x:c>
      <x:c r="C146" s="10" t="n">
        <x:f>'Invoices'!C146</x:f>
        <x:v>46076</x:v>
      </x:c>
      <x:c r="D146" s="10" t="n">
        <x:f>'Invoices'!D146</x:f>
        <x:v>46121</x:v>
      </x:c>
      <x:c r="E146" s="11" t="n">
        <x:f>'Invoices'!E146</x:f>
        <x:v>5723.31</x:v>
      </x:c>
      <x:c r="F146" s="11" t="n">
        <x:f>SUMIFS('Payments'!$E$5:$E$429,'Payments'!$B$5:$B$429,A146,'Payments'!$D$5:$D$429,"&lt;="&amp;'Start Here'!$B$5)</x:f>
        <x:v>5723.3099999999995</x:v>
      </x:c>
      <x:c r="G146" s="11" t="n">
        <x:f>ROUND(E146-F146,2)</x:f>
        <x:v>0</x:v>
      </x:c>
      <x:c r="H146" s="2" t="n">
        <x:f>IF(G146&gt;0,MAX(0,'Start Here'!$B$5-D146),0)</x:f>
        <x:v>0</x:v>
      </x:c>
      <x:c r="I146" s="2" t="str">
        <x:f>IF(G146=0,"Paid",IF(H146=0,"Current",IF(H146&lt;=30,"1-30",IF(H146&lt;=60,"31-60",IF(H146&lt;=90,"61-90","91+")))))</x:f>
        <x:v>Paid</x:v>
      </x:c>
      <x:c r="J146" s="2" t="n">
        <x:f>IF(G146=0,0,IF(H146=0,1,IF(H146&lt;=30,2,IF(H146&lt;=60,3,IF(H146&lt;=90,4,5)))))</x:f>
        <x:v>0</x:v>
      </x:c>
      <x:c r="K146" s="2" t="str">
        <x:f>'Invoices'!F146</x:f>
        <x:v>No</x:v>
      </x:c>
      <x:c r="L146" s="10" t="n">
        <x:f>'Start Here'!$B$5</x:f>
        <x:v>46295</x:v>
      </x:c>
    </x:row>
    <x:row r="147" ht="23" customHeight="1">
      <x:c r="A147" s="2" t="str">
        <x:f>'Invoices'!A147</x:f>
        <x:v>INV00143</x:v>
      </x:c>
      <x:c r="B147" s="2" t="str">
        <x:f>'Invoices'!B147</x:f>
        <x:v>C019</x:v>
      </x:c>
      <x:c r="C147" s="10" t="n">
        <x:f>'Invoices'!C147</x:f>
        <x:v>46129</x:v>
      </x:c>
      <x:c r="D147" s="10" t="n">
        <x:f>'Invoices'!D147</x:f>
        <x:v>46159</x:v>
      </x:c>
      <x:c r="E147" s="11" t="n">
        <x:f>'Invoices'!E147</x:f>
        <x:v>4811.9</x:v>
      </x:c>
      <x:c r="F147" s="11" t="n">
        <x:f>SUMIFS('Payments'!$E$5:$E$429,'Payments'!$B$5:$B$429,A147,'Payments'!$D$5:$D$429,"&lt;="&amp;'Start Here'!$B$5)</x:f>
        <x:v>4811.9</x:v>
      </x:c>
      <x:c r="G147" s="11" t="n">
        <x:f>ROUND(E147-F147,2)</x:f>
        <x:v>0</x:v>
      </x:c>
      <x:c r="H147" s="2" t="n">
        <x:f>IF(G147&gt;0,MAX(0,'Start Here'!$B$5-D147),0)</x:f>
        <x:v>0</x:v>
      </x:c>
      <x:c r="I147" s="2" t="str">
        <x:f>IF(G147=0,"Paid",IF(H147=0,"Current",IF(H147&lt;=30,"1-30",IF(H147&lt;=60,"31-60",IF(H147&lt;=90,"61-90","91+")))))</x:f>
        <x:v>Paid</x:v>
      </x:c>
      <x:c r="J147" s="2" t="n">
        <x:f>IF(G147=0,0,IF(H147=0,1,IF(H147&lt;=30,2,IF(H147&lt;=60,3,IF(H147&lt;=90,4,5)))))</x:f>
        <x:v>0</x:v>
      </x:c>
      <x:c r="K147" s="2" t="str">
        <x:f>'Invoices'!F147</x:f>
        <x:v>No</x:v>
      </x:c>
      <x:c r="L147" s="10" t="n">
        <x:f>'Start Here'!$B$5</x:f>
        <x:v>46295</x:v>
      </x:c>
    </x:row>
    <x:row r="148" ht="23" customHeight="1">
      <x:c r="A148" s="2" t="str">
        <x:f>'Invoices'!A148</x:f>
        <x:v>INV00144</x:v>
      </x:c>
      <x:c r="B148" s="2" t="str">
        <x:f>'Invoices'!B148</x:f>
        <x:v>C012</x:v>
      </x:c>
      <x:c r="C148" s="10" t="n">
        <x:f>'Invoices'!C148</x:f>
        <x:v>46037</x:v>
      </x:c>
      <x:c r="D148" s="10" t="n">
        <x:f>'Invoices'!D148</x:f>
        <x:v>46082</x:v>
      </x:c>
      <x:c r="E148" s="11" t="n">
        <x:f>'Invoices'!E148</x:f>
        <x:v>5475.42</x:v>
      </x:c>
      <x:c r="F148" s="11" t="n">
        <x:f>SUMIFS('Payments'!$E$5:$E$429,'Payments'!$B$5:$B$429,A148,'Payments'!$D$5:$D$429,"&lt;="&amp;'Start Here'!$B$5)</x:f>
        <x:v>1916.4</x:v>
      </x:c>
      <x:c r="G148" s="11" t="n">
        <x:f>ROUND(E148-F148,2)</x:f>
        <x:v>3559.02</x:v>
      </x:c>
      <x:c r="H148" s="2" t="n">
        <x:f>IF(G148&gt;0,MAX(0,'Start Here'!$B$5-D148),0)</x:f>
        <x:v>213</x:v>
      </x:c>
      <x:c r="I148" s="2" t="str">
        <x:f>IF(G148=0,"Paid",IF(H148=0,"Current",IF(H148&lt;=30,"1-30",IF(H148&lt;=60,"31-60",IF(H148&lt;=90,"61-90","91+")))))</x:f>
        <x:v>91+</x:v>
      </x:c>
      <x:c r="J148" s="2" t="n">
        <x:f>IF(G148=0,0,IF(H148=0,1,IF(H148&lt;=30,2,IF(H148&lt;=60,3,IF(H148&lt;=90,4,5)))))</x:f>
        <x:v>5</x:v>
      </x:c>
      <x:c r="K148" s="2" t="str">
        <x:f>'Invoices'!F148</x:f>
        <x:v>Yes</x:v>
      </x:c>
      <x:c r="L148" s="10" t="n">
        <x:f>'Start Here'!$B$5</x:f>
        <x:v>46295</x:v>
      </x:c>
    </x:row>
    <x:row r="149" ht="23" customHeight="1">
      <x:c r="A149" s="2" t="str">
        <x:f>'Invoices'!A149</x:f>
        <x:v>INV00145</x:v>
      </x:c>
      <x:c r="B149" s="2" t="str">
        <x:f>'Invoices'!B149</x:f>
        <x:v>C007</x:v>
      </x:c>
      <x:c r="C149" s="10" t="n">
        <x:f>'Invoices'!C149</x:f>
        <x:v>46130</x:v>
      </x:c>
      <x:c r="D149" s="10" t="n">
        <x:f>'Invoices'!D149</x:f>
        <x:v>46175</x:v>
      </x:c>
      <x:c r="E149" s="11" t="n">
        <x:f>'Invoices'!E149</x:f>
        <x:v>13882.69</x:v>
      </x:c>
      <x:c r="F149" s="11" t="n">
        <x:f>SUMIFS('Payments'!$E$5:$E$429,'Payments'!$B$5:$B$429,A149,'Payments'!$D$5:$D$429,"&lt;="&amp;'Start Here'!$B$5)</x:f>
        <x:v>13882.689999999999</x:v>
      </x:c>
      <x:c r="G149" s="11" t="n">
        <x:f>ROUND(E149-F149,2)</x:f>
        <x:v>0</x:v>
      </x:c>
      <x:c r="H149" s="2" t="n">
        <x:f>IF(G149&gt;0,MAX(0,'Start Here'!$B$5-D149),0)</x:f>
        <x:v>0</x:v>
      </x:c>
      <x:c r="I149" s="2" t="str">
        <x:f>IF(G149=0,"Paid",IF(H149=0,"Current",IF(H149&lt;=30,"1-30",IF(H149&lt;=60,"31-60",IF(H149&lt;=90,"61-90","91+")))))</x:f>
        <x:v>Paid</x:v>
      </x:c>
      <x:c r="J149" s="2" t="n">
        <x:f>IF(G149=0,0,IF(H149=0,1,IF(H149&lt;=30,2,IF(H149&lt;=60,3,IF(H149&lt;=90,4,5)))))</x:f>
        <x:v>0</x:v>
      </x:c>
      <x:c r="K149" s="2" t="str">
        <x:f>'Invoices'!F149</x:f>
        <x:v>No</x:v>
      </x:c>
      <x:c r="L149" s="10" t="n">
        <x:f>'Start Here'!$B$5</x:f>
        <x:v>46295</x:v>
      </x:c>
    </x:row>
    <x:row r="150" ht="23" customHeight="1">
      <x:c r="A150" s="2" t="str">
        <x:f>'Invoices'!A150</x:f>
        <x:v>INV00146</x:v>
      </x:c>
      <x:c r="B150" s="2" t="str">
        <x:f>'Invoices'!B150</x:f>
        <x:v>C008</x:v>
      </x:c>
      <x:c r="C150" s="10" t="n">
        <x:f>'Invoices'!C150</x:f>
        <x:v>46201</x:v>
      </x:c>
      <x:c r="D150" s="10" t="n">
        <x:f>'Invoices'!D150</x:f>
        <x:v>46216</x:v>
      </x:c>
      <x:c r="E150" s="11" t="n">
        <x:f>'Invoices'!E150</x:f>
        <x:v>2087.47</x:v>
      </x:c>
      <x:c r="F150" s="11" t="n">
        <x:f>SUMIFS('Payments'!$E$5:$E$429,'Payments'!$B$5:$B$429,A150,'Payments'!$D$5:$D$429,"&lt;="&amp;'Start Here'!$B$5)</x:f>
        <x:v>2087.4700000000003</x:v>
      </x:c>
      <x:c r="G150" s="11" t="n">
        <x:f>ROUND(E150-F150,2)</x:f>
        <x:v>0</x:v>
      </x:c>
      <x:c r="H150" s="2" t="n">
        <x:f>IF(G150&gt;0,MAX(0,'Start Here'!$B$5-D150),0)</x:f>
        <x:v>0</x:v>
      </x:c>
      <x:c r="I150" s="2" t="str">
        <x:f>IF(G150=0,"Paid",IF(H150=0,"Current",IF(H150&lt;=30,"1-30",IF(H150&lt;=60,"31-60",IF(H150&lt;=90,"61-90","91+")))))</x:f>
        <x:v>Paid</x:v>
      </x:c>
      <x:c r="J150" s="2" t="n">
        <x:f>IF(G150=0,0,IF(H150=0,1,IF(H150&lt;=30,2,IF(H150&lt;=60,3,IF(H150&lt;=90,4,5)))))</x:f>
        <x:v>0</x:v>
      </x:c>
      <x:c r="K150" s="2" t="str">
        <x:f>'Invoices'!F150</x:f>
        <x:v>No</x:v>
      </x:c>
      <x:c r="L150" s="10" t="n">
        <x:f>'Start Here'!$B$5</x:f>
        <x:v>46295</x:v>
      </x:c>
    </x:row>
    <x:row r="151" ht="23" customHeight="1">
      <x:c r="A151" s="2" t="str">
        <x:f>'Invoices'!A151</x:f>
        <x:v>INV00147</x:v>
      </x:c>
      <x:c r="B151" s="2" t="str">
        <x:f>'Invoices'!B151</x:f>
        <x:v>C021</x:v>
      </x:c>
      <x:c r="C151" s="10" t="n">
        <x:f>'Invoices'!C151</x:f>
        <x:v>46067</x:v>
      </x:c>
      <x:c r="D151" s="10" t="n">
        <x:f>'Invoices'!D151</x:f>
        <x:v>46082</x:v>
      </x:c>
      <x:c r="E151" s="11" t="n">
        <x:f>'Invoices'!E151</x:f>
        <x:v>11303.17</x:v>
      </x:c>
      <x:c r="F151" s="11" t="n">
        <x:f>SUMIFS('Payments'!$E$5:$E$429,'Payments'!$B$5:$B$429,A151,'Payments'!$D$5:$D$429,"&lt;="&amp;'Start Here'!$B$5)</x:f>
        <x:v>11303.17</x:v>
      </x:c>
      <x:c r="G151" s="11" t="n">
        <x:f>ROUND(E151-F151,2)</x:f>
        <x:v>0</x:v>
      </x:c>
      <x:c r="H151" s="2" t="n">
        <x:f>IF(G151&gt;0,MAX(0,'Start Here'!$B$5-D151),0)</x:f>
        <x:v>0</x:v>
      </x:c>
      <x:c r="I151" s="2" t="str">
        <x:f>IF(G151=0,"Paid",IF(H151=0,"Current",IF(H151&lt;=30,"1-30",IF(H151&lt;=60,"31-60",IF(H151&lt;=90,"61-90","91+")))))</x:f>
        <x:v>Paid</x:v>
      </x:c>
      <x:c r="J151" s="2" t="n">
        <x:f>IF(G151=0,0,IF(H151=0,1,IF(H151&lt;=30,2,IF(H151&lt;=60,3,IF(H151&lt;=90,4,5)))))</x:f>
        <x:v>0</x:v>
      </x:c>
      <x:c r="K151" s="2" t="str">
        <x:f>'Invoices'!F151</x:f>
        <x:v>No</x:v>
      </x:c>
      <x:c r="L151" s="10" t="n">
        <x:f>'Start Here'!$B$5</x:f>
        <x:v>46295</x:v>
      </x:c>
    </x:row>
    <x:row r="152" ht="23" customHeight="1">
      <x:c r="A152" s="2" t="str">
        <x:f>'Invoices'!A152</x:f>
        <x:v>INV00148</x:v>
      </x:c>
      <x:c r="B152" s="2" t="str">
        <x:f>'Invoices'!B152</x:f>
        <x:v>C020</x:v>
      </x:c>
      <x:c r="C152" s="10" t="n">
        <x:f>'Invoices'!C152</x:f>
        <x:v>46223</x:v>
      </x:c>
      <x:c r="D152" s="10" t="n">
        <x:f>'Invoices'!D152</x:f>
        <x:v>46253</x:v>
      </x:c>
      <x:c r="E152" s="11" t="n">
        <x:f>'Invoices'!E152</x:f>
        <x:v>17519.7</x:v>
      </x:c>
      <x:c r="F152" s="11" t="n">
        <x:f>SUMIFS('Payments'!$E$5:$E$429,'Payments'!$B$5:$B$429,A152,'Payments'!$D$5:$D$429,"&lt;="&amp;'Start Here'!$B$5)</x:f>
        <x:v>17519.7</x:v>
      </x:c>
      <x:c r="G152" s="11" t="n">
        <x:f>ROUND(E152-F152,2)</x:f>
        <x:v>0</x:v>
      </x:c>
      <x:c r="H152" s="2" t="n">
        <x:f>IF(G152&gt;0,MAX(0,'Start Here'!$B$5-D152),0)</x:f>
        <x:v>0</x:v>
      </x:c>
      <x:c r="I152" s="2" t="str">
        <x:f>IF(G152=0,"Paid",IF(H152=0,"Current",IF(H152&lt;=30,"1-30",IF(H152&lt;=60,"31-60",IF(H152&lt;=90,"61-90","91+")))))</x:f>
        <x:v>Paid</x:v>
      </x:c>
      <x:c r="J152" s="2" t="n">
        <x:f>IF(G152=0,0,IF(H152=0,1,IF(H152&lt;=30,2,IF(H152&lt;=60,3,IF(H152&lt;=90,4,5)))))</x:f>
        <x:v>0</x:v>
      </x:c>
      <x:c r="K152" s="2" t="str">
        <x:f>'Invoices'!F152</x:f>
        <x:v>No</x:v>
      </x:c>
      <x:c r="L152" s="10" t="n">
        <x:f>'Start Here'!$B$5</x:f>
        <x:v>46295</x:v>
      </x:c>
    </x:row>
    <x:row r="153" ht="23" customHeight="1">
      <x:c r="A153" s="2" t="str">
        <x:f>'Invoices'!A153</x:f>
        <x:v>INV00149</x:v>
      </x:c>
      <x:c r="B153" s="2" t="str">
        <x:f>'Invoices'!B153</x:f>
        <x:v>C039</x:v>
      </x:c>
      <x:c r="C153" s="10" t="n">
        <x:f>'Invoices'!C153</x:f>
        <x:v>46288</x:v>
      </x:c>
      <x:c r="D153" s="10" t="n">
        <x:f>'Invoices'!D153</x:f>
        <x:v>46333</x:v>
      </x:c>
      <x:c r="E153" s="11" t="n">
        <x:f>'Invoices'!E153</x:f>
        <x:v>18423.91</x:v>
      </x:c>
      <x:c r="F153" s="11" t="n">
        <x:f>SUMIFS('Payments'!$E$5:$E$429,'Payments'!$B$5:$B$429,A153,'Payments'!$D$5:$D$429,"&lt;="&amp;'Start Here'!$B$5)</x:f>
        <x:v>0</x:v>
      </x:c>
      <x:c r="G153" s="11" t="n">
        <x:f>ROUND(E153-F153,2)</x:f>
        <x:v>18423.91</x:v>
      </x:c>
      <x:c r="H153" s="2" t="n">
        <x:f>IF(G153&gt;0,MAX(0,'Start Here'!$B$5-D153),0)</x:f>
        <x:v>0</x:v>
      </x:c>
      <x:c r="I153" s="2" t="str">
        <x:f>IF(G153=0,"Paid",IF(H153=0,"Current",IF(H153&lt;=30,"1-30",IF(H153&lt;=60,"31-60",IF(H153&lt;=90,"61-90","91+")))))</x:f>
        <x:v>Current</x:v>
      </x:c>
      <x:c r="J153" s="2" t="n">
        <x:f>IF(G153=0,0,IF(H153=0,1,IF(H153&lt;=30,2,IF(H153&lt;=60,3,IF(H153&lt;=90,4,5)))))</x:f>
        <x:v>1</x:v>
      </x:c>
      <x:c r="K153" s="2" t="str">
        <x:f>'Invoices'!F153</x:f>
        <x:v>No</x:v>
      </x:c>
      <x:c r="L153" s="10" t="n">
        <x:f>'Start Here'!$B$5</x:f>
        <x:v>46295</x:v>
      </x:c>
    </x:row>
    <x:row r="154" ht="23" customHeight="1">
      <x:c r="A154" s="2" t="str">
        <x:f>'Invoices'!A154</x:f>
        <x:v>INV00150</x:v>
      </x:c>
      <x:c r="B154" s="2" t="str">
        <x:f>'Invoices'!B154</x:f>
        <x:v>C027</x:v>
      </x:c>
      <x:c r="C154" s="10" t="n">
        <x:f>'Invoices'!C154</x:f>
        <x:v>46164</x:v>
      </x:c>
      <x:c r="D154" s="10" t="n">
        <x:f>'Invoices'!D154</x:f>
        <x:v>46194</x:v>
      </x:c>
      <x:c r="E154" s="11" t="n">
        <x:f>'Invoices'!E154</x:f>
        <x:v>10831.5</x:v>
      </x:c>
      <x:c r="F154" s="11" t="n">
        <x:f>SUMIFS('Payments'!$E$5:$E$429,'Payments'!$B$5:$B$429,A154,'Payments'!$D$5:$D$429,"&lt;="&amp;'Start Here'!$B$5)</x:f>
        <x:v>10831.5</x:v>
      </x:c>
      <x:c r="G154" s="11" t="n">
        <x:f>ROUND(E154-F154,2)</x:f>
        <x:v>0</x:v>
      </x:c>
      <x:c r="H154" s="2" t="n">
        <x:f>IF(G154&gt;0,MAX(0,'Start Here'!$B$5-D154),0)</x:f>
        <x:v>0</x:v>
      </x:c>
      <x:c r="I154" s="2" t="str">
        <x:f>IF(G154=0,"Paid",IF(H154=0,"Current",IF(H154&lt;=30,"1-30",IF(H154&lt;=60,"31-60",IF(H154&lt;=90,"61-90","91+")))))</x:f>
        <x:v>Paid</x:v>
      </x:c>
      <x:c r="J154" s="2" t="n">
        <x:f>IF(G154=0,0,IF(H154=0,1,IF(H154&lt;=30,2,IF(H154&lt;=60,3,IF(H154&lt;=90,4,5)))))</x:f>
        <x:v>0</x:v>
      </x:c>
      <x:c r="K154" s="2" t="str">
        <x:f>'Invoices'!F154</x:f>
        <x:v>No</x:v>
      </x:c>
      <x:c r="L154" s="10" t="n">
        <x:f>'Start Here'!$B$5</x:f>
        <x:v>46295</x:v>
      </x:c>
    </x:row>
    <x:row r="155" ht="23" customHeight="1">
      <x:c r="A155" s="2" t="str">
        <x:f>'Invoices'!A155</x:f>
        <x:v>INV00151</x:v>
      </x:c>
      <x:c r="B155" s="2" t="str">
        <x:f>'Invoices'!B155</x:f>
        <x:v>C039</x:v>
      </x:c>
      <x:c r="C155" s="10" t="n">
        <x:f>'Invoices'!C155</x:f>
        <x:v>46060</x:v>
      </x:c>
      <x:c r="D155" s="10" t="n">
        <x:f>'Invoices'!D155</x:f>
        <x:v>46120</x:v>
      </x:c>
      <x:c r="E155" s="11" t="n">
        <x:f>'Invoices'!E155</x:f>
        <x:v>4784.74</x:v>
      </x:c>
      <x:c r="F155" s="11" t="n">
        <x:f>SUMIFS('Payments'!$E$5:$E$429,'Payments'!$B$5:$B$429,A155,'Payments'!$D$5:$D$429,"&lt;="&amp;'Start Here'!$B$5)</x:f>
        <x:v>4784.74</x:v>
      </x:c>
      <x:c r="G155" s="11" t="n">
        <x:f>ROUND(E155-F155,2)</x:f>
        <x:v>0</x:v>
      </x:c>
      <x:c r="H155" s="2" t="n">
        <x:f>IF(G155&gt;0,MAX(0,'Start Here'!$B$5-D155),0)</x:f>
        <x:v>0</x:v>
      </x:c>
      <x:c r="I155" s="2" t="str">
        <x:f>IF(G155=0,"Paid",IF(H155=0,"Current",IF(H155&lt;=30,"1-30",IF(H155&lt;=60,"31-60",IF(H155&lt;=90,"61-90","91+")))))</x:f>
        <x:v>Paid</x:v>
      </x:c>
      <x:c r="J155" s="2" t="n">
        <x:f>IF(G155=0,0,IF(H155=0,1,IF(H155&lt;=30,2,IF(H155&lt;=60,3,IF(H155&lt;=90,4,5)))))</x:f>
        <x:v>0</x:v>
      </x:c>
      <x:c r="K155" s="2" t="str">
        <x:f>'Invoices'!F155</x:f>
        <x:v>No</x:v>
      </x:c>
      <x:c r="L155" s="10" t="n">
        <x:f>'Start Here'!$B$5</x:f>
        <x:v>46295</x:v>
      </x:c>
    </x:row>
    <x:row r="156" ht="23" customHeight="1">
      <x:c r="A156" s="2" t="str">
        <x:f>'Invoices'!A156</x:f>
        <x:v>INV00152</x:v>
      </x:c>
      <x:c r="B156" s="2" t="str">
        <x:f>'Invoices'!B156</x:f>
        <x:v>C017</x:v>
      </x:c>
      <x:c r="C156" s="10" t="n">
        <x:f>'Invoices'!C156</x:f>
        <x:v>46138</x:v>
      </x:c>
      <x:c r="D156" s="10" t="n">
        <x:f>'Invoices'!D156</x:f>
        <x:v>46168</x:v>
      </x:c>
      <x:c r="E156" s="11" t="n">
        <x:f>'Invoices'!E156</x:f>
        <x:v>19743.48</x:v>
      </x:c>
      <x:c r="F156" s="11" t="n">
        <x:f>SUMIFS('Payments'!$E$5:$E$429,'Payments'!$B$5:$B$429,A156,'Payments'!$D$5:$D$429,"&lt;="&amp;'Start Here'!$B$5)</x:f>
        <x:v>6910.22</x:v>
      </x:c>
      <x:c r="G156" s="11" t="n">
        <x:f>ROUND(E156-F156,2)</x:f>
        <x:v>12833.26</x:v>
      </x:c>
      <x:c r="H156" s="2" t="n">
        <x:f>IF(G156&gt;0,MAX(0,'Start Here'!$B$5-D156),0)</x:f>
        <x:v>127</x:v>
      </x:c>
      <x:c r="I156" s="2" t="str">
        <x:f>IF(G156=0,"Paid",IF(H156=0,"Current",IF(H156&lt;=30,"1-30",IF(H156&lt;=60,"31-60",IF(H156&lt;=90,"61-90","91+")))))</x:f>
        <x:v>91+</x:v>
      </x:c>
      <x:c r="J156" s="2" t="n">
        <x:f>IF(G156=0,0,IF(H156=0,1,IF(H156&lt;=30,2,IF(H156&lt;=60,3,IF(H156&lt;=90,4,5)))))</x:f>
        <x:v>5</x:v>
      </x:c>
      <x:c r="K156" s="2" t="str">
        <x:f>'Invoices'!F156</x:f>
        <x:v>Yes</x:v>
      </x:c>
      <x:c r="L156" s="10" t="n">
        <x:f>'Start Here'!$B$5</x:f>
        <x:v>46295</x:v>
      </x:c>
    </x:row>
    <x:row r="157" ht="23" customHeight="1">
      <x:c r="A157" s="2" t="str">
        <x:f>'Invoices'!A157</x:f>
        <x:v>INV00153</x:v>
      </x:c>
      <x:c r="B157" s="2" t="str">
        <x:f>'Invoices'!B157</x:f>
        <x:v>C023</x:v>
      </x:c>
      <x:c r="C157" s="10" t="n">
        <x:f>'Invoices'!C157</x:f>
        <x:v>46099</x:v>
      </x:c>
      <x:c r="D157" s="10" t="n">
        <x:f>'Invoices'!D157</x:f>
        <x:v>46129</x:v>
      </x:c>
      <x:c r="E157" s="11" t="n">
        <x:f>'Invoices'!E157</x:f>
        <x:v>4397.22</x:v>
      </x:c>
      <x:c r="F157" s="11" t="n">
        <x:f>SUMIFS('Payments'!$E$5:$E$429,'Payments'!$B$5:$B$429,A157,'Payments'!$D$5:$D$429,"&lt;="&amp;'Start Here'!$B$5)</x:f>
        <x:v>0</x:v>
      </x:c>
      <x:c r="G157" s="11" t="n">
        <x:f>ROUND(E157-F157,2)</x:f>
        <x:v>4397.22</x:v>
      </x:c>
      <x:c r="H157" s="2" t="n">
        <x:f>IF(G157&gt;0,MAX(0,'Start Here'!$B$5-D157),0)</x:f>
        <x:v>166</x:v>
      </x:c>
      <x:c r="I157" s="2" t="str">
        <x:f>IF(G157=0,"Paid",IF(H157=0,"Current",IF(H157&lt;=30,"1-30",IF(H157&lt;=60,"31-60",IF(H157&lt;=90,"61-90","91+")))))</x:f>
        <x:v>91+</x:v>
      </x:c>
      <x:c r="J157" s="2" t="n">
        <x:f>IF(G157=0,0,IF(H157=0,1,IF(H157&lt;=30,2,IF(H157&lt;=60,3,IF(H157&lt;=90,4,5)))))</x:f>
        <x:v>5</x:v>
      </x:c>
      <x:c r="K157" s="2" t="str">
        <x:f>'Invoices'!F157</x:f>
        <x:v>No</x:v>
      </x:c>
      <x:c r="L157" s="10" t="n">
        <x:f>'Start Here'!$B$5</x:f>
        <x:v>46295</x:v>
      </x:c>
    </x:row>
    <x:row r="158" ht="23" customHeight="1">
      <x:c r="A158" s="2" t="str">
        <x:f>'Invoices'!A158</x:f>
        <x:v>INV00154</x:v>
      </x:c>
      <x:c r="B158" s="2" t="str">
        <x:f>'Invoices'!B158</x:f>
        <x:v>C039</x:v>
      </x:c>
      <x:c r="C158" s="10" t="n">
        <x:f>'Invoices'!C158</x:f>
        <x:v>46124</x:v>
      </x:c>
      <x:c r="D158" s="10" t="n">
        <x:f>'Invoices'!D158</x:f>
        <x:v>46154</x:v>
      </x:c>
      <x:c r="E158" s="11" t="n">
        <x:f>'Invoices'!E158</x:f>
        <x:v>11235.41</x:v>
      </x:c>
      <x:c r="F158" s="11" t="n">
        <x:f>SUMIFS('Payments'!$E$5:$E$429,'Payments'!$B$5:$B$429,A158,'Payments'!$D$5:$D$429,"&lt;="&amp;'Start Here'!$B$5)</x:f>
        <x:v>11235.41</x:v>
      </x:c>
      <x:c r="G158" s="11" t="n">
        <x:f>ROUND(E158-F158,2)</x:f>
        <x:v>0</x:v>
      </x:c>
      <x:c r="H158" s="2" t="n">
        <x:f>IF(G158&gt;0,MAX(0,'Start Here'!$B$5-D158),0)</x:f>
        <x:v>0</x:v>
      </x:c>
      <x:c r="I158" s="2" t="str">
        <x:f>IF(G158=0,"Paid",IF(H158=0,"Current",IF(H158&lt;=30,"1-30",IF(H158&lt;=60,"31-60",IF(H158&lt;=90,"61-90","91+")))))</x:f>
        <x:v>Paid</x:v>
      </x:c>
      <x:c r="J158" s="2" t="n">
        <x:f>IF(G158=0,0,IF(H158=0,1,IF(H158&lt;=30,2,IF(H158&lt;=60,3,IF(H158&lt;=90,4,5)))))</x:f>
        <x:v>0</x:v>
      </x:c>
      <x:c r="K158" s="2" t="str">
        <x:f>'Invoices'!F158</x:f>
        <x:v>No</x:v>
      </x:c>
      <x:c r="L158" s="10" t="n">
        <x:f>'Start Here'!$B$5</x:f>
        <x:v>46295</x:v>
      </x:c>
    </x:row>
    <x:row r="159" ht="23" customHeight="1">
      <x:c r="A159" s="2" t="str">
        <x:f>'Invoices'!A159</x:f>
        <x:v>INV00155</x:v>
      </x:c>
      <x:c r="B159" s="2" t="str">
        <x:f>'Invoices'!B159</x:f>
        <x:v>C026</x:v>
      </x:c>
      <x:c r="C159" s="10" t="n">
        <x:f>'Invoices'!C159</x:f>
        <x:v>46275</x:v>
      </x:c>
      <x:c r="D159" s="10" t="n">
        <x:f>'Invoices'!D159</x:f>
        <x:v>46305</x:v>
      </x:c>
      <x:c r="E159" s="11" t="n">
        <x:f>'Invoices'!E159</x:f>
        <x:v>10389.45</x:v>
      </x:c>
      <x:c r="F159" s="11" t="n">
        <x:f>SUMIFS('Payments'!$E$5:$E$429,'Payments'!$B$5:$B$429,A159,'Payments'!$D$5:$D$429,"&lt;="&amp;'Start Here'!$B$5)</x:f>
        <x:v>0</x:v>
      </x:c>
      <x:c r="G159" s="11" t="n">
        <x:f>ROUND(E159-F159,2)</x:f>
        <x:v>10389.45</x:v>
      </x:c>
      <x:c r="H159" s="2" t="n">
        <x:f>IF(G159&gt;0,MAX(0,'Start Here'!$B$5-D159),0)</x:f>
        <x:v>0</x:v>
      </x:c>
      <x:c r="I159" s="2" t="str">
        <x:f>IF(G159=0,"Paid",IF(H159=0,"Current",IF(H159&lt;=30,"1-30",IF(H159&lt;=60,"31-60",IF(H159&lt;=90,"61-90","91+")))))</x:f>
        <x:v>Current</x:v>
      </x:c>
      <x:c r="J159" s="2" t="n">
        <x:f>IF(G159=0,0,IF(H159=0,1,IF(H159&lt;=30,2,IF(H159&lt;=60,3,IF(H159&lt;=90,4,5)))))</x:f>
        <x:v>1</x:v>
      </x:c>
      <x:c r="K159" s="2" t="str">
        <x:f>'Invoices'!F159</x:f>
        <x:v>No</x:v>
      </x:c>
      <x:c r="L159" s="10" t="n">
        <x:f>'Start Here'!$B$5</x:f>
        <x:v>46295</x:v>
      </x:c>
    </x:row>
    <x:row r="160" ht="23" customHeight="1">
      <x:c r="A160" s="2" t="str">
        <x:f>'Invoices'!A160</x:f>
        <x:v>INV00156</x:v>
      </x:c>
      <x:c r="B160" s="2" t="str">
        <x:f>'Invoices'!B160</x:f>
        <x:v>C027</x:v>
      </x:c>
      <x:c r="C160" s="10" t="n">
        <x:f>'Invoices'!C160</x:f>
        <x:v>46229</x:v>
      </x:c>
      <x:c r="D160" s="10" t="n">
        <x:f>'Invoices'!D160</x:f>
        <x:v>46274</x:v>
      </x:c>
      <x:c r="E160" s="11" t="n">
        <x:f>'Invoices'!E160</x:f>
        <x:v>4312.27</x:v>
      </x:c>
      <x:c r="F160" s="11" t="n">
        <x:f>SUMIFS('Payments'!$E$5:$E$429,'Payments'!$B$5:$B$429,A160,'Payments'!$D$5:$D$429,"&lt;="&amp;'Start Here'!$B$5)</x:f>
        <x:v>4312.27</x:v>
      </x:c>
      <x:c r="G160" s="11" t="n">
        <x:f>ROUND(E160-F160,2)</x:f>
        <x:v>0</x:v>
      </x:c>
      <x:c r="H160" s="2" t="n">
        <x:f>IF(G160&gt;0,MAX(0,'Start Here'!$B$5-D160),0)</x:f>
        <x:v>0</x:v>
      </x:c>
      <x:c r="I160" s="2" t="str">
        <x:f>IF(G160=0,"Paid",IF(H160=0,"Current",IF(H160&lt;=30,"1-30",IF(H160&lt;=60,"31-60",IF(H160&lt;=90,"61-90","91+")))))</x:f>
        <x:v>Paid</x:v>
      </x:c>
      <x:c r="J160" s="2" t="n">
        <x:f>IF(G160=0,0,IF(H160=0,1,IF(H160&lt;=30,2,IF(H160&lt;=60,3,IF(H160&lt;=90,4,5)))))</x:f>
        <x:v>0</x:v>
      </x:c>
      <x:c r="K160" s="2" t="str">
        <x:f>'Invoices'!F160</x:f>
        <x:v>No</x:v>
      </x:c>
      <x:c r="L160" s="10" t="n">
        <x:f>'Start Here'!$B$5</x:f>
        <x:v>46295</x:v>
      </x:c>
    </x:row>
    <x:row r="161" ht="23" customHeight="1">
      <x:c r="A161" s="2" t="str">
        <x:f>'Invoices'!A161</x:f>
        <x:v>INV00157</x:v>
      </x:c>
      <x:c r="B161" s="2" t="str">
        <x:f>'Invoices'!B161</x:f>
        <x:v>C036</x:v>
      </x:c>
      <x:c r="C161" s="10" t="n">
        <x:f>'Invoices'!C161</x:f>
        <x:v>46054</x:v>
      </x:c>
      <x:c r="D161" s="10" t="n">
        <x:f>'Invoices'!D161</x:f>
        <x:v>46084</x:v>
      </x:c>
      <x:c r="E161" s="11" t="n">
        <x:f>'Invoices'!E161</x:f>
        <x:v>19212.36</x:v>
      </x:c>
      <x:c r="F161" s="11" t="n">
        <x:f>SUMIFS('Payments'!$E$5:$E$429,'Payments'!$B$5:$B$429,A161,'Payments'!$D$5:$D$429,"&lt;="&amp;'Start Here'!$B$5)</x:f>
        <x:v>19212.36</x:v>
      </x:c>
      <x:c r="G161" s="11" t="n">
        <x:f>ROUND(E161-F161,2)</x:f>
        <x:v>0</x:v>
      </x:c>
      <x:c r="H161" s="2" t="n">
        <x:f>IF(G161&gt;0,MAX(0,'Start Here'!$B$5-D161),0)</x:f>
        <x:v>0</x:v>
      </x:c>
      <x:c r="I161" s="2" t="str">
        <x:f>IF(G161=0,"Paid",IF(H161=0,"Current",IF(H161&lt;=30,"1-30",IF(H161&lt;=60,"31-60",IF(H161&lt;=90,"61-90","91+")))))</x:f>
        <x:v>Paid</x:v>
      </x:c>
      <x:c r="J161" s="2" t="n">
        <x:f>IF(G161=0,0,IF(H161=0,1,IF(H161&lt;=30,2,IF(H161&lt;=60,3,IF(H161&lt;=90,4,5)))))</x:f>
        <x:v>0</x:v>
      </x:c>
      <x:c r="K161" s="2" t="str">
        <x:f>'Invoices'!F161</x:f>
        <x:v>No</x:v>
      </x:c>
      <x:c r="L161" s="10" t="n">
        <x:f>'Start Here'!$B$5</x:f>
        <x:v>46295</x:v>
      </x:c>
    </x:row>
    <x:row r="162" ht="23" customHeight="1">
      <x:c r="A162" s="2" t="str">
        <x:f>'Invoices'!A162</x:f>
        <x:v>INV00158</x:v>
      </x:c>
      <x:c r="B162" s="2" t="str">
        <x:f>'Invoices'!B162</x:f>
        <x:v>C038</x:v>
      </x:c>
      <x:c r="C162" s="10" t="n">
        <x:f>'Invoices'!C162</x:f>
        <x:v>46250</x:v>
      </x:c>
      <x:c r="D162" s="10" t="n">
        <x:f>'Invoices'!D162</x:f>
        <x:v>46280</x:v>
      </x:c>
      <x:c r="E162" s="11" t="n">
        <x:f>'Invoices'!E162</x:f>
        <x:v>656.8</x:v>
      </x:c>
      <x:c r="F162" s="11" t="n">
        <x:f>SUMIFS('Payments'!$E$5:$E$429,'Payments'!$B$5:$B$429,A162,'Payments'!$D$5:$D$429,"&lt;="&amp;'Start Here'!$B$5)</x:f>
        <x:v>0</x:v>
      </x:c>
      <x:c r="G162" s="11" t="n">
        <x:f>ROUND(E162-F162,2)</x:f>
        <x:v>656.8</x:v>
      </x:c>
      <x:c r="H162" s="2" t="n">
        <x:f>IF(G162&gt;0,MAX(0,'Start Here'!$B$5-D162),0)</x:f>
        <x:v>15</x:v>
      </x:c>
      <x:c r="I162" s="2" t="str">
        <x:f>IF(G162=0,"Paid",IF(H162=0,"Current",IF(H162&lt;=30,"1-30",IF(H162&lt;=60,"31-60",IF(H162&lt;=90,"61-90","91+")))))</x:f>
        <x:v>1-30</x:v>
      </x:c>
      <x:c r="J162" s="2" t="n">
        <x:f>IF(G162=0,0,IF(H162=0,1,IF(H162&lt;=30,2,IF(H162&lt;=60,3,IF(H162&lt;=90,4,5)))))</x:f>
        <x:v>2</x:v>
      </x:c>
      <x:c r="K162" s="2" t="str">
        <x:f>'Invoices'!F162</x:f>
        <x:v>No</x:v>
      </x:c>
      <x:c r="L162" s="10" t="n">
        <x:f>'Start Here'!$B$5</x:f>
        <x:v>46295</x:v>
      </x:c>
    </x:row>
    <x:row r="163" ht="23" customHeight="1">
      <x:c r="A163" s="2" t="str">
        <x:f>'Invoices'!A163</x:f>
        <x:v>INV00159</x:v>
      </x:c>
      <x:c r="B163" s="2" t="str">
        <x:f>'Invoices'!B163</x:f>
        <x:v>C033</x:v>
      </x:c>
      <x:c r="C163" s="10" t="n">
        <x:f>'Invoices'!C163</x:f>
        <x:v>46070</x:v>
      </x:c>
      <x:c r="D163" s="10" t="n">
        <x:f>'Invoices'!D163</x:f>
        <x:v>46085</x:v>
      </x:c>
      <x:c r="E163" s="11" t="n">
        <x:f>'Invoices'!E163</x:f>
        <x:v>11569.78</x:v>
      </x:c>
      <x:c r="F163" s="11" t="n">
        <x:f>SUMIFS('Payments'!$E$5:$E$429,'Payments'!$B$5:$B$429,A163,'Payments'!$D$5:$D$429,"&lt;="&amp;'Start Here'!$B$5)</x:f>
        <x:v>11569.78</x:v>
      </x:c>
      <x:c r="G163" s="11" t="n">
        <x:f>ROUND(E163-F163,2)</x:f>
        <x:v>0</x:v>
      </x:c>
      <x:c r="H163" s="2" t="n">
        <x:f>IF(G163&gt;0,MAX(0,'Start Here'!$B$5-D163),0)</x:f>
        <x:v>0</x:v>
      </x:c>
      <x:c r="I163" s="2" t="str">
        <x:f>IF(G163=0,"Paid",IF(H163=0,"Current",IF(H163&lt;=30,"1-30",IF(H163&lt;=60,"31-60",IF(H163&lt;=90,"61-90","91+")))))</x:f>
        <x:v>Paid</x:v>
      </x:c>
      <x:c r="J163" s="2" t="n">
        <x:f>IF(G163=0,0,IF(H163=0,1,IF(H163&lt;=30,2,IF(H163&lt;=60,3,IF(H163&lt;=90,4,5)))))</x:f>
        <x:v>0</x:v>
      </x:c>
      <x:c r="K163" s="2" t="str">
        <x:f>'Invoices'!F163</x:f>
        <x:v>No</x:v>
      </x:c>
      <x:c r="L163" s="10" t="n">
        <x:f>'Start Here'!$B$5</x:f>
        <x:v>46295</x:v>
      </x:c>
    </x:row>
    <x:row r="164" ht="23" customHeight="1">
      <x:c r="A164" s="2" t="str">
        <x:f>'Invoices'!A164</x:f>
        <x:v>INV00160</x:v>
      </x:c>
      <x:c r="B164" s="2" t="str">
        <x:f>'Invoices'!B164</x:f>
        <x:v>C039</x:v>
      </x:c>
      <x:c r="C164" s="10" t="n">
        <x:f>'Invoices'!C164</x:f>
        <x:v>46263</x:v>
      </x:c>
      <x:c r="D164" s="10" t="n">
        <x:f>'Invoices'!D164</x:f>
        <x:v>46323</x:v>
      </x:c>
      <x:c r="E164" s="11" t="n">
        <x:f>'Invoices'!E164</x:f>
        <x:v>1693.15</x:v>
      </x:c>
      <x:c r="F164" s="11" t="n">
        <x:f>SUMIFS('Payments'!$E$5:$E$429,'Payments'!$B$5:$B$429,A164,'Payments'!$D$5:$D$429,"&lt;="&amp;'Start Here'!$B$5)</x:f>
        <x:v>0</x:v>
      </x:c>
      <x:c r="G164" s="11" t="n">
        <x:f>ROUND(E164-F164,2)</x:f>
        <x:v>1693.15</x:v>
      </x:c>
      <x:c r="H164" s="2" t="n">
        <x:f>IF(G164&gt;0,MAX(0,'Start Here'!$B$5-D164),0)</x:f>
        <x:v>0</x:v>
      </x:c>
      <x:c r="I164" s="2" t="str">
        <x:f>IF(G164=0,"Paid",IF(H164=0,"Current",IF(H164&lt;=30,"1-30",IF(H164&lt;=60,"31-60",IF(H164&lt;=90,"61-90","91+")))))</x:f>
        <x:v>Current</x:v>
      </x:c>
      <x:c r="J164" s="2" t="n">
        <x:f>IF(G164=0,0,IF(H164=0,1,IF(H164&lt;=30,2,IF(H164&lt;=60,3,IF(H164&lt;=90,4,5)))))</x:f>
        <x:v>1</x:v>
      </x:c>
      <x:c r="K164" s="2" t="str">
        <x:f>'Invoices'!F164</x:f>
        <x:v>No</x:v>
      </x:c>
      <x:c r="L164" s="10" t="n">
        <x:f>'Start Here'!$B$5</x:f>
        <x:v>46295</x:v>
      </x:c>
    </x:row>
    <x:row r="165" ht="23" customHeight="1">
      <x:c r="A165" s="2" t="str">
        <x:f>'Invoices'!A165</x:f>
        <x:v>INV00161</x:v>
      </x:c>
      <x:c r="B165" s="2" t="str">
        <x:f>'Invoices'!B165</x:f>
        <x:v>C031</x:v>
      </x:c>
      <x:c r="C165" s="10" t="n">
        <x:f>'Invoices'!C165</x:f>
        <x:v>46108</x:v>
      </x:c>
      <x:c r="D165" s="10" t="n">
        <x:f>'Invoices'!D165</x:f>
        <x:v>46168</x:v>
      </x:c>
      <x:c r="E165" s="11" t="n">
        <x:f>'Invoices'!E165</x:f>
        <x:v>18906.04</x:v>
      </x:c>
      <x:c r="F165" s="11" t="n">
        <x:f>SUMIFS('Payments'!$E$5:$E$429,'Payments'!$B$5:$B$429,A165,'Payments'!$D$5:$D$429,"&lt;="&amp;'Start Here'!$B$5)</x:f>
        <x:v>18906.04</x:v>
      </x:c>
      <x:c r="G165" s="11" t="n">
        <x:f>ROUND(E165-F165,2)</x:f>
        <x:v>0</x:v>
      </x:c>
      <x:c r="H165" s="2" t="n">
        <x:f>IF(G165&gt;0,MAX(0,'Start Here'!$B$5-D165),0)</x:f>
        <x:v>0</x:v>
      </x:c>
      <x:c r="I165" s="2" t="str">
        <x:f>IF(G165=0,"Paid",IF(H165=0,"Current",IF(H165&lt;=30,"1-30",IF(H165&lt;=60,"31-60",IF(H165&lt;=90,"61-90","91+")))))</x:f>
        <x:v>Paid</x:v>
      </x:c>
      <x:c r="J165" s="2" t="n">
        <x:f>IF(G165=0,0,IF(H165=0,1,IF(H165&lt;=30,2,IF(H165&lt;=60,3,IF(H165&lt;=90,4,5)))))</x:f>
        <x:v>0</x:v>
      </x:c>
      <x:c r="K165" s="2" t="str">
        <x:f>'Invoices'!F165</x:f>
        <x:v>No</x:v>
      </x:c>
      <x:c r="L165" s="10" t="n">
        <x:f>'Start Here'!$B$5</x:f>
        <x:v>46295</x:v>
      </x:c>
    </x:row>
    <x:row r="166" ht="23" customHeight="1">
      <x:c r="A166" s="2" t="str">
        <x:f>'Invoices'!A166</x:f>
        <x:v>INV00162</x:v>
      </x:c>
      <x:c r="B166" s="2" t="str">
        <x:f>'Invoices'!B166</x:f>
        <x:v>C034</x:v>
      </x:c>
      <x:c r="C166" s="10" t="n">
        <x:f>'Invoices'!C166</x:f>
        <x:v>46277</x:v>
      </x:c>
      <x:c r="D166" s="10" t="n">
        <x:f>'Invoices'!D166</x:f>
        <x:v>46337</x:v>
      </x:c>
      <x:c r="E166" s="11" t="n">
        <x:f>'Invoices'!E166</x:f>
        <x:v>3863.66</x:v>
      </x:c>
      <x:c r="F166" s="11" t="n">
        <x:f>SUMIFS('Payments'!$E$5:$E$429,'Payments'!$B$5:$B$429,A166,'Payments'!$D$5:$D$429,"&lt;="&amp;'Start Here'!$B$5)</x:f>
        <x:v>0</x:v>
      </x:c>
      <x:c r="G166" s="11" t="n">
        <x:f>ROUND(E166-F166,2)</x:f>
        <x:v>3863.66</x:v>
      </x:c>
      <x:c r="H166" s="2" t="n">
        <x:f>IF(G166&gt;0,MAX(0,'Start Here'!$B$5-D166),0)</x:f>
        <x:v>0</x:v>
      </x:c>
      <x:c r="I166" s="2" t="str">
        <x:f>IF(G166=0,"Paid",IF(H166=0,"Current",IF(H166&lt;=30,"1-30",IF(H166&lt;=60,"31-60",IF(H166&lt;=90,"61-90","91+")))))</x:f>
        <x:v>Current</x:v>
      </x:c>
      <x:c r="J166" s="2" t="n">
        <x:f>IF(G166=0,0,IF(H166=0,1,IF(H166&lt;=30,2,IF(H166&lt;=60,3,IF(H166&lt;=90,4,5)))))</x:f>
        <x:v>1</x:v>
      </x:c>
      <x:c r="K166" s="2" t="str">
        <x:f>'Invoices'!F166</x:f>
        <x:v>No</x:v>
      </x:c>
      <x:c r="L166" s="10" t="n">
        <x:f>'Start Here'!$B$5</x:f>
        <x:v>46295</x:v>
      </x:c>
    </x:row>
    <x:row r="167" ht="23" customHeight="1">
      <x:c r="A167" s="2" t="str">
        <x:f>'Invoices'!A167</x:f>
        <x:v>INV00163</x:v>
      </x:c>
      <x:c r="B167" s="2" t="str">
        <x:f>'Invoices'!B167</x:f>
        <x:v>C021</x:v>
      </x:c>
      <x:c r="C167" s="10" t="n">
        <x:f>'Invoices'!C167</x:f>
        <x:v>46219</x:v>
      </x:c>
      <x:c r="D167" s="10" t="n">
        <x:f>'Invoices'!D167</x:f>
        <x:v>46249</x:v>
      </x:c>
      <x:c r="E167" s="11" t="n">
        <x:f>'Invoices'!E167</x:f>
        <x:v>18280.66</x:v>
      </x:c>
      <x:c r="F167" s="11" t="n">
        <x:f>SUMIFS('Payments'!$E$5:$E$429,'Payments'!$B$5:$B$429,A167,'Payments'!$D$5:$D$429,"&lt;="&amp;'Start Here'!$B$5)</x:f>
        <x:v>18280.66</x:v>
      </x:c>
      <x:c r="G167" s="11" t="n">
        <x:f>ROUND(E167-F167,2)</x:f>
        <x:v>0</x:v>
      </x:c>
      <x:c r="H167" s="2" t="n">
        <x:f>IF(G167&gt;0,MAX(0,'Start Here'!$B$5-D167),0)</x:f>
        <x:v>0</x:v>
      </x:c>
      <x:c r="I167" s="2" t="str">
        <x:f>IF(G167=0,"Paid",IF(H167=0,"Current",IF(H167&lt;=30,"1-30",IF(H167&lt;=60,"31-60",IF(H167&lt;=90,"61-90","91+")))))</x:f>
        <x:v>Paid</x:v>
      </x:c>
      <x:c r="J167" s="2" t="n">
        <x:f>IF(G167=0,0,IF(H167=0,1,IF(H167&lt;=30,2,IF(H167&lt;=60,3,IF(H167&lt;=90,4,5)))))</x:f>
        <x:v>0</x:v>
      </x:c>
      <x:c r="K167" s="2" t="str">
        <x:f>'Invoices'!F167</x:f>
        <x:v>No</x:v>
      </x:c>
      <x:c r="L167" s="10" t="n">
        <x:f>'Start Here'!$B$5</x:f>
        <x:v>46295</x:v>
      </x:c>
    </x:row>
    <x:row r="168" ht="23" customHeight="1">
      <x:c r="A168" s="2" t="str">
        <x:f>'Invoices'!A168</x:f>
        <x:v>INV00164</x:v>
      </x:c>
      <x:c r="B168" s="2" t="str">
        <x:f>'Invoices'!B168</x:f>
        <x:v>C030</x:v>
      </x:c>
      <x:c r="C168" s="10" t="n">
        <x:f>'Invoices'!C168</x:f>
        <x:v>46051</x:v>
      </x:c>
      <x:c r="D168" s="10" t="n">
        <x:f>'Invoices'!D168</x:f>
        <x:v>46081</x:v>
      </x:c>
      <x:c r="E168" s="11" t="n">
        <x:f>'Invoices'!E168</x:f>
        <x:v>13926</x:v>
      </x:c>
      <x:c r="F168" s="11" t="n">
        <x:f>SUMIFS('Payments'!$E$5:$E$429,'Payments'!$B$5:$B$429,A168,'Payments'!$D$5:$D$429,"&lt;="&amp;'Start Here'!$B$5)</x:f>
        <x:v>0</x:v>
      </x:c>
      <x:c r="G168" s="11" t="n">
        <x:f>ROUND(E168-F168,2)</x:f>
        <x:v>13926</x:v>
      </x:c>
      <x:c r="H168" s="2" t="n">
        <x:f>IF(G168&gt;0,MAX(0,'Start Here'!$B$5-D168),0)</x:f>
        <x:v>214</x:v>
      </x:c>
      <x:c r="I168" s="2" t="str">
        <x:f>IF(G168=0,"Paid",IF(H168=0,"Current",IF(H168&lt;=30,"1-30",IF(H168&lt;=60,"31-60",IF(H168&lt;=90,"61-90","91+")))))</x:f>
        <x:v>91+</x:v>
      </x:c>
      <x:c r="J168" s="2" t="n">
        <x:f>IF(G168=0,0,IF(H168=0,1,IF(H168&lt;=30,2,IF(H168&lt;=60,3,IF(H168&lt;=90,4,5)))))</x:f>
        <x:v>5</x:v>
      </x:c>
      <x:c r="K168" s="2" t="str">
        <x:f>'Invoices'!F168</x:f>
        <x:v>No</x:v>
      </x:c>
      <x:c r="L168" s="10" t="n">
        <x:f>'Start Here'!$B$5</x:f>
        <x:v>46295</x:v>
      </x:c>
    </x:row>
    <x:row r="169" ht="23" customHeight="1">
      <x:c r="A169" s="2" t="str">
        <x:f>'Invoices'!A169</x:f>
        <x:v>INV00165</x:v>
      </x:c>
      <x:c r="B169" s="2" t="str">
        <x:f>'Invoices'!B169</x:f>
        <x:v>C032</x:v>
      </x:c>
      <x:c r="C169" s="10" t="n">
        <x:f>'Invoices'!C169</x:f>
        <x:v>46274</x:v>
      </x:c>
      <x:c r="D169" s="10" t="n">
        <x:f>'Invoices'!D169</x:f>
        <x:v>46319</x:v>
      </x:c>
      <x:c r="E169" s="11" t="n">
        <x:f>'Invoices'!E169</x:f>
        <x:v>3292.8</x:v>
      </x:c>
      <x:c r="F169" s="11" t="n">
        <x:f>SUMIFS('Payments'!$E$5:$E$429,'Payments'!$B$5:$B$429,A169,'Payments'!$D$5:$D$429,"&lt;="&amp;'Start Here'!$B$5)</x:f>
        <x:v>0</x:v>
      </x:c>
      <x:c r="G169" s="11" t="n">
        <x:f>ROUND(E169-F169,2)</x:f>
        <x:v>3292.8</x:v>
      </x:c>
      <x:c r="H169" s="2" t="n">
        <x:f>IF(G169&gt;0,MAX(0,'Start Here'!$B$5-D169),0)</x:f>
        <x:v>0</x:v>
      </x:c>
      <x:c r="I169" s="2" t="str">
        <x:f>IF(G169=0,"Paid",IF(H169=0,"Current",IF(H169&lt;=30,"1-30",IF(H169&lt;=60,"31-60",IF(H169&lt;=90,"61-90","91+")))))</x:f>
        <x:v>Current</x:v>
      </x:c>
      <x:c r="J169" s="2" t="n">
        <x:f>IF(G169=0,0,IF(H169=0,1,IF(H169&lt;=30,2,IF(H169&lt;=60,3,IF(H169&lt;=90,4,5)))))</x:f>
        <x:v>1</x:v>
      </x:c>
      <x:c r="K169" s="2" t="str">
        <x:f>'Invoices'!F169</x:f>
        <x:v>No</x:v>
      </x:c>
      <x:c r="L169" s="10" t="n">
        <x:f>'Start Here'!$B$5</x:f>
        <x:v>46295</x:v>
      </x:c>
    </x:row>
    <x:row r="170" ht="23" customHeight="1">
      <x:c r="A170" s="2" t="str">
        <x:f>'Invoices'!A170</x:f>
        <x:v>INV00166</x:v>
      </x:c>
      <x:c r="B170" s="2" t="str">
        <x:f>'Invoices'!B170</x:f>
        <x:v>C021</x:v>
      </x:c>
      <x:c r="C170" s="10" t="n">
        <x:f>'Invoices'!C170</x:f>
        <x:v>46147</x:v>
      </x:c>
      <x:c r="D170" s="10" t="n">
        <x:f>'Invoices'!D170</x:f>
        <x:v>46207</x:v>
      </x:c>
      <x:c r="E170" s="11" t="n">
        <x:f>'Invoices'!E170</x:f>
        <x:v>3459.9</x:v>
      </x:c>
      <x:c r="F170" s="11" t="n">
        <x:f>SUMIFS('Payments'!$E$5:$E$429,'Payments'!$B$5:$B$429,A170,'Payments'!$D$5:$D$429,"&lt;="&amp;'Start Here'!$B$5)</x:f>
        <x:v>3459.9</x:v>
      </x:c>
      <x:c r="G170" s="11" t="n">
        <x:f>ROUND(E170-F170,2)</x:f>
        <x:v>0</x:v>
      </x:c>
      <x:c r="H170" s="2" t="n">
        <x:f>IF(G170&gt;0,MAX(0,'Start Here'!$B$5-D170),0)</x:f>
        <x:v>0</x:v>
      </x:c>
      <x:c r="I170" s="2" t="str">
        <x:f>IF(G170=0,"Paid",IF(H170=0,"Current",IF(H170&lt;=30,"1-30",IF(H170&lt;=60,"31-60",IF(H170&lt;=90,"61-90","91+")))))</x:f>
        <x:v>Paid</x:v>
      </x:c>
      <x:c r="J170" s="2" t="n">
        <x:f>IF(G170=0,0,IF(H170=0,1,IF(H170&lt;=30,2,IF(H170&lt;=60,3,IF(H170&lt;=90,4,5)))))</x:f>
        <x:v>0</x:v>
      </x:c>
      <x:c r="K170" s="2" t="str">
        <x:f>'Invoices'!F170</x:f>
        <x:v>No</x:v>
      </x:c>
      <x:c r="L170" s="10" t="n">
        <x:f>'Start Here'!$B$5</x:f>
        <x:v>46295</x:v>
      </x:c>
    </x:row>
    <x:row r="171" ht="23" customHeight="1">
      <x:c r="A171" s="2" t="str">
        <x:f>'Invoices'!A171</x:f>
        <x:v>INV00167</x:v>
      </x:c>
      <x:c r="B171" s="2" t="str">
        <x:f>'Invoices'!B171</x:f>
        <x:v>C019</x:v>
      </x:c>
      <x:c r="C171" s="10" t="n">
        <x:f>'Invoices'!C171</x:f>
        <x:v>46107</x:v>
      </x:c>
      <x:c r="D171" s="10" t="n">
        <x:f>'Invoices'!D171</x:f>
        <x:v>46122</x:v>
      </x:c>
      <x:c r="E171" s="11" t="n">
        <x:f>'Invoices'!E171</x:f>
        <x:v>8593.43</x:v>
      </x:c>
      <x:c r="F171" s="11" t="n">
        <x:f>SUMIFS('Payments'!$E$5:$E$429,'Payments'!$B$5:$B$429,A171,'Payments'!$D$5:$D$429,"&lt;="&amp;'Start Here'!$B$5)</x:f>
        <x:v>3007.7</x:v>
      </x:c>
      <x:c r="G171" s="11" t="n">
        <x:f>ROUND(E171-F171,2)</x:f>
        <x:v>5585.73</x:v>
      </x:c>
      <x:c r="H171" s="2" t="n">
        <x:f>IF(G171&gt;0,MAX(0,'Start Here'!$B$5-D171),0)</x:f>
        <x:v>173</x:v>
      </x:c>
      <x:c r="I171" s="2" t="str">
        <x:f>IF(G171=0,"Paid",IF(H171=0,"Current",IF(H171&lt;=30,"1-30",IF(H171&lt;=60,"31-60",IF(H171&lt;=90,"61-90","91+")))))</x:f>
        <x:v>91+</x:v>
      </x:c>
      <x:c r="J171" s="2" t="n">
        <x:f>IF(G171=0,0,IF(H171=0,1,IF(H171&lt;=30,2,IF(H171&lt;=60,3,IF(H171&lt;=90,4,5)))))</x:f>
        <x:v>5</x:v>
      </x:c>
      <x:c r="K171" s="2" t="str">
        <x:f>'Invoices'!F171</x:f>
        <x:v>Yes</x:v>
      </x:c>
      <x:c r="L171" s="10" t="n">
        <x:f>'Start Here'!$B$5</x:f>
        <x:v>46295</x:v>
      </x:c>
    </x:row>
    <x:row r="172" ht="23" customHeight="1">
      <x:c r="A172" s="2" t="str">
        <x:f>'Invoices'!A172</x:f>
        <x:v>INV00168</x:v>
      </x:c>
      <x:c r="B172" s="2" t="str">
        <x:f>'Invoices'!B172</x:f>
        <x:v>C009</x:v>
      </x:c>
      <x:c r="C172" s="10" t="n">
        <x:f>'Invoices'!C172</x:f>
        <x:v>46197</x:v>
      </x:c>
      <x:c r="D172" s="10" t="n">
        <x:f>'Invoices'!D172</x:f>
        <x:v>46257</x:v>
      </x:c>
      <x:c r="E172" s="11" t="n">
        <x:f>'Invoices'!E172</x:f>
        <x:v>5340.14</x:v>
      </x:c>
      <x:c r="F172" s="11" t="n">
        <x:f>SUMIFS('Payments'!$E$5:$E$429,'Payments'!$B$5:$B$429,A172,'Payments'!$D$5:$D$429,"&lt;="&amp;'Start Here'!$B$5)</x:f>
        <x:v>5340.14</x:v>
      </x:c>
      <x:c r="G172" s="11" t="n">
        <x:f>ROUND(E172-F172,2)</x:f>
        <x:v>0</x:v>
      </x:c>
      <x:c r="H172" s="2" t="n">
        <x:f>IF(G172&gt;0,MAX(0,'Start Here'!$B$5-D172),0)</x:f>
        <x:v>0</x:v>
      </x:c>
      <x:c r="I172" s="2" t="str">
        <x:f>IF(G172=0,"Paid",IF(H172=0,"Current",IF(H172&lt;=30,"1-30",IF(H172&lt;=60,"31-60",IF(H172&lt;=90,"61-90","91+")))))</x:f>
        <x:v>Paid</x:v>
      </x:c>
      <x:c r="J172" s="2" t="n">
        <x:f>IF(G172=0,0,IF(H172=0,1,IF(H172&lt;=30,2,IF(H172&lt;=60,3,IF(H172&lt;=90,4,5)))))</x:f>
        <x:v>0</x:v>
      </x:c>
      <x:c r="K172" s="2" t="str">
        <x:f>'Invoices'!F172</x:f>
        <x:v>No</x:v>
      </x:c>
      <x:c r="L172" s="10" t="n">
        <x:f>'Start Here'!$B$5</x:f>
        <x:v>46295</x:v>
      </x:c>
    </x:row>
    <x:row r="173" ht="23" customHeight="1">
      <x:c r="A173" s="2" t="str">
        <x:f>'Invoices'!A173</x:f>
        <x:v>INV00169</x:v>
      </x:c>
      <x:c r="B173" s="2" t="str">
        <x:f>'Invoices'!B173</x:f>
        <x:v>C035</x:v>
      </x:c>
      <x:c r="C173" s="10" t="n">
        <x:f>'Invoices'!C173</x:f>
        <x:v>46042</x:v>
      </x:c>
      <x:c r="D173" s="10" t="n">
        <x:f>'Invoices'!D173</x:f>
        <x:v>46087</x:v>
      </x:c>
      <x:c r="E173" s="11" t="n">
        <x:f>'Invoices'!E173</x:f>
        <x:v>19391.84</x:v>
      </x:c>
      <x:c r="F173" s="11" t="n">
        <x:f>SUMIFS('Payments'!$E$5:$E$429,'Payments'!$B$5:$B$429,A173,'Payments'!$D$5:$D$429,"&lt;="&amp;'Start Here'!$B$5)</x:f>
        <x:v>19391.84</x:v>
      </x:c>
      <x:c r="G173" s="11" t="n">
        <x:f>ROUND(E173-F173,2)</x:f>
        <x:v>0</x:v>
      </x:c>
      <x:c r="H173" s="2" t="n">
        <x:f>IF(G173&gt;0,MAX(0,'Start Here'!$B$5-D173),0)</x:f>
        <x:v>0</x:v>
      </x:c>
      <x:c r="I173" s="2" t="str">
        <x:f>IF(G173=0,"Paid",IF(H173=0,"Current",IF(H173&lt;=30,"1-30",IF(H173&lt;=60,"31-60",IF(H173&lt;=90,"61-90","91+")))))</x:f>
        <x:v>Paid</x:v>
      </x:c>
      <x:c r="J173" s="2" t="n">
        <x:f>IF(G173=0,0,IF(H173=0,1,IF(H173&lt;=30,2,IF(H173&lt;=60,3,IF(H173&lt;=90,4,5)))))</x:f>
        <x:v>0</x:v>
      </x:c>
      <x:c r="K173" s="2" t="str">
        <x:f>'Invoices'!F173</x:f>
        <x:v>No</x:v>
      </x:c>
      <x:c r="L173" s="10" t="n">
        <x:f>'Start Here'!$B$5</x:f>
        <x:v>46295</x:v>
      </x:c>
    </x:row>
    <x:row r="174" ht="23" customHeight="1">
      <x:c r="A174" s="2" t="str">
        <x:f>'Invoices'!A174</x:f>
        <x:v>INV00170</x:v>
      </x:c>
      <x:c r="B174" s="2" t="str">
        <x:f>'Invoices'!B174</x:f>
        <x:v>C012</x:v>
      </x:c>
      <x:c r="C174" s="10" t="n">
        <x:f>'Invoices'!C174</x:f>
        <x:v>46119</x:v>
      </x:c>
      <x:c r="D174" s="10" t="n">
        <x:f>'Invoices'!D174</x:f>
        <x:v>46149</x:v>
      </x:c>
      <x:c r="E174" s="11" t="n">
        <x:f>'Invoices'!E174</x:f>
        <x:v>3208.58</x:v>
      </x:c>
      <x:c r="F174" s="11" t="n">
        <x:f>SUMIFS('Payments'!$E$5:$E$429,'Payments'!$B$5:$B$429,A174,'Payments'!$D$5:$D$429,"&lt;="&amp;'Start Here'!$B$5)</x:f>
        <x:v>3208.58</x:v>
      </x:c>
      <x:c r="G174" s="11" t="n">
        <x:f>ROUND(E174-F174,2)</x:f>
        <x:v>0</x:v>
      </x:c>
      <x:c r="H174" s="2" t="n">
        <x:f>IF(G174&gt;0,MAX(0,'Start Here'!$B$5-D174),0)</x:f>
        <x:v>0</x:v>
      </x:c>
      <x:c r="I174" s="2" t="str">
        <x:f>IF(G174=0,"Paid",IF(H174=0,"Current",IF(H174&lt;=30,"1-30",IF(H174&lt;=60,"31-60",IF(H174&lt;=90,"61-90","91+")))))</x:f>
        <x:v>Paid</x:v>
      </x:c>
      <x:c r="J174" s="2" t="n">
        <x:f>IF(G174=0,0,IF(H174=0,1,IF(H174&lt;=30,2,IF(H174&lt;=60,3,IF(H174&lt;=90,4,5)))))</x:f>
        <x:v>0</x:v>
      </x:c>
      <x:c r="K174" s="2" t="str">
        <x:f>'Invoices'!F174</x:f>
        <x:v>No</x:v>
      </x:c>
      <x:c r="L174" s="10" t="n">
        <x:f>'Start Here'!$B$5</x:f>
        <x:v>46295</x:v>
      </x:c>
    </x:row>
    <x:row r="175" ht="23" customHeight="1">
      <x:c r="A175" s="2" t="str">
        <x:f>'Invoices'!A175</x:f>
        <x:v>INV00171</x:v>
      </x:c>
      <x:c r="B175" s="2" t="str">
        <x:f>'Invoices'!B175</x:f>
        <x:v>C038</x:v>
      </x:c>
      <x:c r="C175" s="10" t="n">
        <x:f>'Invoices'!C175</x:f>
        <x:v>46151</x:v>
      </x:c>
      <x:c r="D175" s="10" t="n">
        <x:f>'Invoices'!D175</x:f>
        <x:v>46181</x:v>
      </x:c>
      <x:c r="E175" s="11" t="n">
        <x:f>'Invoices'!E175</x:f>
        <x:v>17624.04</x:v>
      </x:c>
      <x:c r="F175" s="11" t="n">
        <x:f>SUMIFS('Payments'!$E$5:$E$429,'Payments'!$B$5:$B$429,A175,'Payments'!$D$5:$D$429,"&lt;="&amp;'Start Here'!$B$5)</x:f>
        <x:v>17624.04</x:v>
      </x:c>
      <x:c r="G175" s="11" t="n">
        <x:f>ROUND(E175-F175,2)</x:f>
        <x:v>0</x:v>
      </x:c>
      <x:c r="H175" s="2" t="n">
        <x:f>IF(G175&gt;0,MAX(0,'Start Here'!$B$5-D175),0)</x:f>
        <x:v>0</x:v>
      </x:c>
      <x:c r="I175" s="2" t="str">
        <x:f>IF(G175=0,"Paid",IF(H175=0,"Current",IF(H175&lt;=30,"1-30",IF(H175&lt;=60,"31-60",IF(H175&lt;=90,"61-90","91+")))))</x:f>
        <x:v>Paid</x:v>
      </x:c>
      <x:c r="J175" s="2" t="n">
        <x:f>IF(G175=0,0,IF(H175=0,1,IF(H175&lt;=30,2,IF(H175&lt;=60,3,IF(H175&lt;=90,4,5)))))</x:f>
        <x:v>0</x:v>
      </x:c>
      <x:c r="K175" s="2" t="str">
        <x:f>'Invoices'!F175</x:f>
        <x:v>No</x:v>
      </x:c>
      <x:c r="L175" s="10" t="n">
        <x:f>'Start Here'!$B$5</x:f>
        <x:v>46295</x:v>
      </x:c>
    </x:row>
    <x:row r="176" ht="23" customHeight="1">
      <x:c r="A176" s="2" t="str">
        <x:f>'Invoices'!A176</x:f>
        <x:v>INV00172</x:v>
      </x:c>
      <x:c r="B176" s="2" t="str">
        <x:f>'Invoices'!B176</x:f>
        <x:v>C016</x:v>
      </x:c>
      <x:c r="C176" s="10" t="n">
        <x:f>'Invoices'!C176</x:f>
        <x:v>46219</x:v>
      </x:c>
      <x:c r="D176" s="10" t="n">
        <x:f>'Invoices'!D176</x:f>
        <x:v>46249</x:v>
      </x:c>
      <x:c r="E176" s="11" t="n">
        <x:f>'Invoices'!E176</x:f>
        <x:v>9199.73</x:v>
      </x:c>
      <x:c r="F176" s="11" t="n">
        <x:f>SUMIFS('Payments'!$E$5:$E$429,'Payments'!$B$5:$B$429,A176,'Payments'!$D$5:$D$429,"&lt;="&amp;'Start Here'!$B$5)</x:f>
        <x:v>0</x:v>
      </x:c>
      <x:c r="G176" s="11" t="n">
        <x:f>ROUND(E176-F176,2)</x:f>
        <x:v>9199.73</x:v>
      </x:c>
      <x:c r="H176" s="2" t="n">
        <x:f>IF(G176&gt;0,MAX(0,'Start Here'!$B$5-D176),0)</x:f>
        <x:v>46</x:v>
      </x:c>
      <x:c r="I176" s="2" t="str">
        <x:f>IF(G176=0,"Paid",IF(H176=0,"Current",IF(H176&lt;=30,"1-30",IF(H176&lt;=60,"31-60",IF(H176&lt;=90,"61-90","91+")))))</x:f>
        <x:v>31-60</x:v>
      </x:c>
      <x:c r="J176" s="2" t="n">
        <x:f>IF(G176=0,0,IF(H176=0,1,IF(H176&lt;=30,2,IF(H176&lt;=60,3,IF(H176&lt;=90,4,5)))))</x:f>
        <x:v>3</x:v>
      </x:c>
      <x:c r="K176" s="2" t="str">
        <x:f>'Invoices'!F176</x:f>
        <x:v>No</x:v>
      </x:c>
      <x:c r="L176" s="10" t="n">
        <x:f>'Start Here'!$B$5</x:f>
        <x:v>46295</x:v>
      </x:c>
    </x:row>
    <x:row r="177" ht="23" customHeight="1">
      <x:c r="A177" s="2" t="str">
        <x:f>'Invoices'!A177</x:f>
        <x:v>INV00173</x:v>
      </x:c>
      <x:c r="B177" s="2" t="str">
        <x:f>'Invoices'!B177</x:f>
        <x:v>C028</x:v>
      </x:c>
      <x:c r="C177" s="10" t="n">
        <x:f>'Invoices'!C177</x:f>
        <x:v>46122</x:v>
      </x:c>
      <x:c r="D177" s="10" t="n">
        <x:f>'Invoices'!D177</x:f>
        <x:v>46167</x:v>
      </x:c>
      <x:c r="E177" s="11" t="n">
        <x:f>'Invoices'!E177</x:f>
        <x:v>9432.19</x:v>
      </x:c>
      <x:c r="F177" s="11" t="n">
        <x:f>SUMIFS('Payments'!$E$5:$E$429,'Payments'!$B$5:$B$429,A177,'Payments'!$D$5:$D$429,"&lt;="&amp;'Start Here'!$B$5)</x:f>
        <x:v>9432.19</x:v>
      </x:c>
      <x:c r="G177" s="11" t="n">
        <x:f>ROUND(E177-F177,2)</x:f>
        <x:v>0</x:v>
      </x:c>
      <x:c r="H177" s="2" t="n">
        <x:f>IF(G177&gt;0,MAX(0,'Start Here'!$B$5-D177),0)</x:f>
        <x:v>0</x:v>
      </x:c>
      <x:c r="I177" s="2" t="str">
        <x:f>IF(G177=0,"Paid",IF(H177=0,"Current",IF(H177&lt;=30,"1-30",IF(H177&lt;=60,"31-60",IF(H177&lt;=90,"61-90","91+")))))</x:f>
        <x:v>Paid</x:v>
      </x:c>
      <x:c r="J177" s="2" t="n">
        <x:f>IF(G177=0,0,IF(H177=0,1,IF(H177&lt;=30,2,IF(H177&lt;=60,3,IF(H177&lt;=90,4,5)))))</x:f>
        <x:v>0</x:v>
      </x:c>
      <x:c r="K177" s="2" t="str">
        <x:f>'Invoices'!F177</x:f>
        <x:v>No</x:v>
      </x:c>
      <x:c r="L177" s="10" t="n">
        <x:f>'Start Here'!$B$5</x:f>
        <x:v>46295</x:v>
      </x:c>
    </x:row>
    <x:row r="178" ht="23" customHeight="1">
      <x:c r="A178" s="2" t="str">
        <x:f>'Invoices'!A178</x:f>
        <x:v>INV00174</x:v>
      </x:c>
      <x:c r="B178" s="2" t="str">
        <x:f>'Invoices'!B178</x:f>
        <x:v>C026</x:v>
      </x:c>
      <x:c r="C178" s="10" t="n">
        <x:f>'Invoices'!C178</x:f>
        <x:v>46215</x:v>
      </x:c>
      <x:c r="D178" s="10" t="n">
        <x:f>'Invoices'!D178</x:f>
        <x:v>46245</x:v>
      </x:c>
      <x:c r="E178" s="11" t="n">
        <x:f>'Invoices'!E178</x:f>
        <x:v>8068.41</x:v>
      </x:c>
      <x:c r="F178" s="11" t="n">
        <x:f>SUMIFS('Payments'!$E$5:$E$429,'Payments'!$B$5:$B$429,A178,'Payments'!$D$5:$D$429,"&lt;="&amp;'Start Here'!$B$5)</x:f>
        <x:v>8068.41</x:v>
      </x:c>
      <x:c r="G178" s="11" t="n">
        <x:f>ROUND(E178-F178,2)</x:f>
        <x:v>0</x:v>
      </x:c>
      <x:c r="H178" s="2" t="n">
        <x:f>IF(G178&gt;0,MAX(0,'Start Here'!$B$5-D178),0)</x:f>
        <x:v>0</x:v>
      </x:c>
      <x:c r="I178" s="2" t="str">
        <x:f>IF(G178=0,"Paid",IF(H178=0,"Current",IF(H178&lt;=30,"1-30",IF(H178&lt;=60,"31-60",IF(H178&lt;=90,"61-90","91+")))))</x:f>
        <x:v>Paid</x:v>
      </x:c>
      <x:c r="J178" s="2" t="n">
        <x:f>IF(G178=0,0,IF(H178=0,1,IF(H178&lt;=30,2,IF(H178&lt;=60,3,IF(H178&lt;=90,4,5)))))</x:f>
        <x:v>0</x:v>
      </x:c>
      <x:c r="K178" s="2" t="str">
        <x:f>'Invoices'!F178</x:f>
        <x:v>No</x:v>
      </x:c>
      <x:c r="L178" s="10" t="n">
        <x:f>'Start Here'!$B$5</x:f>
        <x:v>46295</x:v>
      </x:c>
    </x:row>
    <x:row r="179" ht="23" customHeight="1">
      <x:c r="A179" s="2" t="str">
        <x:f>'Invoices'!A179</x:f>
        <x:v>INV00175</x:v>
      </x:c>
      <x:c r="B179" s="2" t="str">
        <x:f>'Invoices'!B179</x:f>
        <x:v>C020</x:v>
      </x:c>
      <x:c r="C179" s="10" t="n">
        <x:f>'Invoices'!C179</x:f>
        <x:v>46162</x:v>
      </x:c>
      <x:c r="D179" s="10" t="n">
        <x:f>'Invoices'!D179</x:f>
        <x:v>46207</x:v>
      </x:c>
      <x:c r="E179" s="11" t="n">
        <x:f>'Invoices'!E179</x:f>
        <x:v>13060.33</x:v>
      </x:c>
      <x:c r="F179" s="11" t="n">
        <x:f>SUMIFS('Payments'!$E$5:$E$429,'Payments'!$B$5:$B$429,A179,'Payments'!$D$5:$D$429,"&lt;="&amp;'Start Here'!$B$5)</x:f>
        <x:v>0</x:v>
      </x:c>
      <x:c r="G179" s="11" t="n">
        <x:f>ROUND(E179-F179,2)</x:f>
        <x:v>13060.33</x:v>
      </x:c>
      <x:c r="H179" s="2" t="n">
        <x:f>IF(G179&gt;0,MAX(0,'Start Here'!$B$5-D179),0)</x:f>
        <x:v>88</x:v>
      </x:c>
      <x:c r="I179" s="2" t="str">
        <x:f>IF(G179=0,"Paid",IF(H179=0,"Current",IF(H179&lt;=30,"1-30",IF(H179&lt;=60,"31-60",IF(H179&lt;=90,"61-90","91+")))))</x:f>
        <x:v>61-90</x:v>
      </x:c>
      <x:c r="J179" s="2" t="n">
        <x:f>IF(G179=0,0,IF(H179=0,1,IF(H179&lt;=30,2,IF(H179&lt;=60,3,IF(H179&lt;=90,4,5)))))</x:f>
        <x:v>4</x:v>
      </x:c>
      <x:c r="K179" s="2" t="str">
        <x:f>'Invoices'!F179</x:f>
        <x:v>No</x:v>
      </x:c>
      <x:c r="L179" s="10" t="n">
        <x:f>'Start Here'!$B$5</x:f>
        <x:v>46295</x:v>
      </x:c>
    </x:row>
    <x:row r="180" ht="23" customHeight="1">
      <x:c r="A180" s="2" t="str">
        <x:f>'Invoices'!A180</x:f>
        <x:v>INV00176</x:v>
      </x:c>
      <x:c r="B180" s="2" t="str">
        <x:f>'Invoices'!B180</x:f>
        <x:v>C018</x:v>
      </x:c>
      <x:c r="C180" s="10" t="n">
        <x:f>'Invoices'!C180</x:f>
        <x:v>46277</x:v>
      </x:c>
      <x:c r="D180" s="10" t="n">
        <x:f>'Invoices'!D180</x:f>
        <x:v>46307</x:v>
      </x:c>
      <x:c r="E180" s="11" t="n">
        <x:f>'Invoices'!E180</x:f>
        <x:v>10998.08</x:v>
      </x:c>
      <x:c r="F180" s="11" t="n">
        <x:f>SUMIFS('Payments'!$E$5:$E$429,'Payments'!$B$5:$B$429,A180,'Payments'!$D$5:$D$429,"&lt;="&amp;'Start Here'!$B$5)</x:f>
        <x:v>0</x:v>
      </x:c>
      <x:c r="G180" s="11" t="n">
        <x:f>ROUND(E180-F180,2)</x:f>
        <x:v>10998.08</x:v>
      </x:c>
      <x:c r="H180" s="2" t="n">
        <x:f>IF(G180&gt;0,MAX(0,'Start Here'!$B$5-D180),0)</x:f>
        <x:v>0</x:v>
      </x:c>
      <x:c r="I180" s="2" t="str">
        <x:f>IF(G180=0,"Paid",IF(H180=0,"Current",IF(H180&lt;=30,"1-30",IF(H180&lt;=60,"31-60",IF(H180&lt;=90,"61-90","91+")))))</x:f>
        <x:v>Current</x:v>
      </x:c>
      <x:c r="J180" s="2" t="n">
        <x:f>IF(G180=0,0,IF(H180=0,1,IF(H180&lt;=30,2,IF(H180&lt;=60,3,IF(H180&lt;=90,4,5)))))</x:f>
        <x:v>1</x:v>
      </x:c>
      <x:c r="K180" s="2" t="str">
        <x:f>'Invoices'!F180</x:f>
        <x:v>No</x:v>
      </x:c>
      <x:c r="L180" s="10" t="n">
        <x:f>'Start Here'!$B$5</x:f>
        <x:v>46295</x:v>
      </x:c>
    </x:row>
    <x:row r="181" ht="23" customHeight="1">
      <x:c r="A181" s="2" t="str">
        <x:f>'Invoices'!A181</x:f>
        <x:v>INV00177</x:v>
      </x:c>
      <x:c r="B181" s="2" t="str">
        <x:f>'Invoices'!B181</x:f>
        <x:v>C016</x:v>
      </x:c>
      <x:c r="C181" s="10" t="n">
        <x:f>'Invoices'!C181</x:f>
        <x:v>46052</x:v>
      </x:c>
      <x:c r="D181" s="10" t="n">
        <x:f>'Invoices'!D181</x:f>
        <x:v>46112</x:v>
      </x:c>
      <x:c r="E181" s="11" t="n">
        <x:f>'Invoices'!E181</x:f>
        <x:v>2570.5</x:v>
      </x:c>
      <x:c r="F181" s="11" t="n">
        <x:f>SUMIFS('Payments'!$E$5:$E$429,'Payments'!$B$5:$B$429,A181,'Payments'!$D$5:$D$429,"&lt;="&amp;'Start Here'!$B$5)</x:f>
        <x:v>0</x:v>
      </x:c>
      <x:c r="G181" s="11" t="n">
        <x:f>ROUND(E181-F181,2)</x:f>
        <x:v>2570.5</x:v>
      </x:c>
      <x:c r="H181" s="2" t="n">
        <x:f>IF(G181&gt;0,MAX(0,'Start Here'!$B$5-D181),0)</x:f>
        <x:v>183</x:v>
      </x:c>
      <x:c r="I181" s="2" t="str">
        <x:f>IF(G181=0,"Paid",IF(H181=0,"Current",IF(H181&lt;=30,"1-30",IF(H181&lt;=60,"31-60",IF(H181&lt;=90,"61-90","91+")))))</x:f>
        <x:v>91+</x:v>
      </x:c>
      <x:c r="J181" s="2" t="n">
        <x:f>IF(G181=0,0,IF(H181=0,1,IF(H181&lt;=30,2,IF(H181&lt;=60,3,IF(H181&lt;=90,4,5)))))</x:f>
        <x:v>5</x:v>
      </x:c>
      <x:c r="K181" s="2" t="str">
        <x:f>'Invoices'!F181</x:f>
        <x:v>No</x:v>
      </x:c>
      <x:c r="L181" s="10" t="n">
        <x:f>'Start Here'!$B$5</x:f>
        <x:v>46295</x:v>
      </x:c>
    </x:row>
    <x:row r="182" ht="23" customHeight="1">
      <x:c r="A182" s="2" t="str">
        <x:f>'Invoices'!A182</x:f>
        <x:v>INV00178</x:v>
      </x:c>
      <x:c r="B182" s="2" t="str">
        <x:f>'Invoices'!B182</x:f>
        <x:v>C018</x:v>
      </x:c>
      <x:c r="C182" s="10" t="n">
        <x:f>'Invoices'!C182</x:f>
        <x:v>46264</x:v>
      </x:c>
      <x:c r="D182" s="10" t="n">
        <x:f>'Invoices'!D182</x:f>
        <x:v>46294</x:v>
      </x:c>
      <x:c r="E182" s="11" t="n">
        <x:f>'Invoices'!E182</x:f>
        <x:v>14670.46</x:v>
      </x:c>
      <x:c r="F182" s="11" t="n">
        <x:f>SUMIFS('Payments'!$E$5:$E$429,'Payments'!$B$5:$B$429,A182,'Payments'!$D$5:$D$429,"&lt;="&amp;'Start Here'!$B$5)</x:f>
        <x:v>0</x:v>
      </x:c>
      <x:c r="G182" s="11" t="n">
        <x:f>ROUND(E182-F182,2)</x:f>
        <x:v>14670.46</x:v>
      </x:c>
      <x:c r="H182" s="2" t="n">
        <x:f>IF(G182&gt;0,MAX(0,'Start Here'!$B$5-D182),0)</x:f>
        <x:v>1</x:v>
      </x:c>
      <x:c r="I182" s="2" t="str">
        <x:f>IF(G182=0,"Paid",IF(H182=0,"Current",IF(H182&lt;=30,"1-30",IF(H182&lt;=60,"31-60",IF(H182&lt;=90,"61-90","91+")))))</x:f>
        <x:v>1-30</x:v>
      </x:c>
      <x:c r="J182" s="2" t="n">
        <x:f>IF(G182=0,0,IF(H182=0,1,IF(H182&lt;=30,2,IF(H182&lt;=60,3,IF(H182&lt;=90,4,5)))))</x:f>
        <x:v>2</x:v>
      </x:c>
      <x:c r="K182" s="2" t="str">
        <x:f>'Invoices'!F182</x:f>
        <x:v>No</x:v>
      </x:c>
      <x:c r="L182" s="10" t="n">
        <x:f>'Start Here'!$B$5</x:f>
        <x:v>46295</x:v>
      </x:c>
    </x:row>
    <x:row r="183" ht="23" customHeight="1">
      <x:c r="A183" s="2" t="str">
        <x:f>'Invoices'!A183</x:f>
        <x:v>INV00179</x:v>
      </x:c>
      <x:c r="B183" s="2" t="str">
        <x:f>'Invoices'!B183</x:f>
        <x:v>C022</x:v>
      </x:c>
      <x:c r="C183" s="10" t="n">
        <x:f>'Invoices'!C183</x:f>
        <x:v>46175</x:v>
      </x:c>
      <x:c r="D183" s="10" t="n">
        <x:f>'Invoices'!D183</x:f>
        <x:v>46190</x:v>
      </x:c>
      <x:c r="E183" s="11" t="n">
        <x:f>'Invoices'!E183</x:f>
        <x:v>9609.01</x:v>
      </x:c>
      <x:c r="F183" s="11" t="n">
        <x:f>SUMIFS('Payments'!$E$5:$E$429,'Payments'!$B$5:$B$429,A183,'Payments'!$D$5:$D$429,"&lt;="&amp;'Start Here'!$B$5)</x:f>
        <x:v>9609.01</x:v>
      </x:c>
      <x:c r="G183" s="11" t="n">
        <x:f>ROUND(E183-F183,2)</x:f>
        <x:v>0</x:v>
      </x:c>
      <x:c r="H183" s="2" t="n">
        <x:f>IF(G183&gt;0,MAX(0,'Start Here'!$B$5-D183),0)</x:f>
        <x:v>0</x:v>
      </x:c>
      <x:c r="I183" s="2" t="str">
        <x:f>IF(G183=0,"Paid",IF(H183=0,"Current",IF(H183&lt;=30,"1-30",IF(H183&lt;=60,"31-60",IF(H183&lt;=90,"61-90","91+")))))</x:f>
        <x:v>Paid</x:v>
      </x:c>
      <x:c r="J183" s="2" t="n">
        <x:f>IF(G183=0,0,IF(H183=0,1,IF(H183&lt;=30,2,IF(H183&lt;=60,3,IF(H183&lt;=90,4,5)))))</x:f>
        <x:v>0</x:v>
      </x:c>
      <x:c r="K183" s="2" t="str">
        <x:f>'Invoices'!F183</x:f>
        <x:v>No</x:v>
      </x:c>
      <x:c r="L183" s="10" t="n">
        <x:f>'Start Here'!$B$5</x:f>
        <x:v>46295</x:v>
      </x:c>
    </x:row>
    <x:row r="184" ht="23" customHeight="1">
      <x:c r="A184" s="2" t="str">
        <x:f>'Invoices'!A184</x:f>
        <x:v>INV00180</x:v>
      </x:c>
      <x:c r="B184" s="2" t="str">
        <x:f>'Invoices'!B184</x:f>
        <x:v>C039</x:v>
      </x:c>
      <x:c r="C184" s="10" t="n">
        <x:f>'Invoices'!C184</x:f>
        <x:v>46106</x:v>
      </x:c>
      <x:c r="D184" s="10" t="n">
        <x:f>'Invoices'!D184</x:f>
        <x:v>46151</x:v>
      </x:c>
      <x:c r="E184" s="11" t="n">
        <x:f>'Invoices'!E184</x:f>
        <x:v>6376.26</x:v>
      </x:c>
      <x:c r="F184" s="11" t="n">
        <x:f>SUMIFS('Payments'!$E$5:$E$429,'Payments'!$B$5:$B$429,A184,'Payments'!$D$5:$D$429,"&lt;="&amp;'Start Here'!$B$5)</x:f>
        <x:v>6376.26</x:v>
      </x:c>
      <x:c r="G184" s="11" t="n">
        <x:f>ROUND(E184-F184,2)</x:f>
        <x:v>0</x:v>
      </x:c>
      <x:c r="H184" s="2" t="n">
        <x:f>IF(G184&gt;0,MAX(0,'Start Here'!$B$5-D184),0)</x:f>
        <x:v>0</x:v>
      </x:c>
      <x:c r="I184" s="2" t="str">
        <x:f>IF(G184=0,"Paid",IF(H184=0,"Current",IF(H184&lt;=30,"1-30",IF(H184&lt;=60,"31-60",IF(H184&lt;=90,"61-90","91+")))))</x:f>
        <x:v>Paid</x:v>
      </x:c>
      <x:c r="J184" s="2" t="n">
        <x:f>IF(G184=0,0,IF(H184=0,1,IF(H184&lt;=30,2,IF(H184&lt;=60,3,IF(H184&lt;=90,4,5)))))</x:f>
        <x:v>0</x:v>
      </x:c>
      <x:c r="K184" s="2" t="str">
        <x:f>'Invoices'!F184</x:f>
        <x:v>No</x:v>
      </x:c>
      <x:c r="L184" s="10" t="n">
        <x:f>'Start Here'!$B$5</x:f>
        <x:v>46295</x:v>
      </x:c>
    </x:row>
    <x:row r="185" ht="23" customHeight="1">
      <x:c r="A185" s="2" t="str">
        <x:f>'Invoices'!A185</x:f>
        <x:v>INV00181</x:v>
      </x:c>
      <x:c r="B185" s="2" t="str">
        <x:f>'Invoices'!B185</x:f>
        <x:v>C012</x:v>
      </x:c>
      <x:c r="C185" s="10" t="n">
        <x:f>'Invoices'!C185</x:f>
        <x:v>46294</x:v>
      </x:c>
      <x:c r="D185" s="10" t="n">
        <x:f>'Invoices'!D185</x:f>
        <x:v>46324</x:v>
      </x:c>
      <x:c r="E185" s="11" t="n">
        <x:f>'Invoices'!E185</x:f>
        <x:v>3429.55</x:v>
      </x:c>
      <x:c r="F185" s="11" t="n">
        <x:f>SUMIFS('Payments'!$E$5:$E$429,'Payments'!$B$5:$B$429,A185,'Payments'!$D$5:$D$429,"&lt;="&amp;'Start Here'!$B$5)</x:f>
        <x:v>0</x:v>
      </x:c>
      <x:c r="G185" s="11" t="n">
        <x:f>ROUND(E185-F185,2)</x:f>
        <x:v>3429.55</x:v>
      </x:c>
      <x:c r="H185" s="2" t="n">
        <x:f>IF(G185&gt;0,MAX(0,'Start Here'!$B$5-D185),0)</x:f>
        <x:v>0</x:v>
      </x:c>
      <x:c r="I185" s="2" t="str">
        <x:f>IF(G185=0,"Paid",IF(H185=0,"Current",IF(H185&lt;=30,"1-30",IF(H185&lt;=60,"31-60",IF(H185&lt;=90,"61-90","91+")))))</x:f>
        <x:v>Current</x:v>
      </x:c>
      <x:c r="J185" s="2" t="n">
        <x:f>IF(G185=0,0,IF(H185=0,1,IF(H185&lt;=30,2,IF(H185&lt;=60,3,IF(H185&lt;=90,4,5)))))</x:f>
        <x:v>1</x:v>
      </x:c>
      <x:c r="K185" s="2" t="str">
        <x:f>'Invoices'!F185</x:f>
        <x:v>No</x:v>
      </x:c>
      <x:c r="L185" s="10" t="n">
        <x:f>'Start Here'!$B$5</x:f>
        <x:v>46295</x:v>
      </x:c>
    </x:row>
    <x:row r="186" ht="23" customHeight="1">
      <x:c r="A186" s="2" t="str">
        <x:f>'Invoices'!A186</x:f>
        <x:v>INV00182</x:v>
      </x:c>
      <x:c r="B186" s="2" t="str">
        <x:f>'Invoices'!B186</x:f>
        <x:v>C016</x:v>
      </x:c>
      <x:c r="C186" s="10" t="n">
        <x:f>'Invoices'!C186</x:f>
        <x:v>46084</x:v>
      </x:c>
      <x:c r="D186" s="10" t="n">
        <x:f>'Invoices'!D186</x:f>
        <x:v>46129</x:v>
      </x:c>
      <x:c r="E186" s="11" t="n">
        <x:f>'Invoices'!E186</x:f>
        <x:v>16781.62</x:v>
      </x:c>
      <x:c r="F186" s="11" t="n">
        <x:f>SUMIFS('Payments'!$E$5:$E$429,'Payments'!$B$5:$B$429,A186,'Payments'!$D$5:$D$429,"&lt;="&amp;'Start Here'!$B$5)</x:f>
        <x:v>16781.62</x:v>
      </x:c>
      <x:c r="G186" s="11" t="n">
        <x:f>ROUND(E186-F186,2)</x:f>
        <x:v>0</x:v>
      </x:c>
      <x:c r="H186" s="2" t="n">
        <x:f>IF(G186&gt;0,MAX(0,'Start Here'!$B$5-D186),0)</x:f>
        <x:v>0</x:v>
      </x:c>
      <x:c r="I186" s="2" t="str">
        <x:f>IF(G186=0,"Paid",IF(H186=0,"Current",IF(H186&lt;=30,"1-30",IF(H186&lt;=60,"31-60",IF(H186&lt;=90,"61-90","91+")))))</x:f>
        <x:v>Paid</x:v>
      </x:c>
      <x:c r="J186" s="2" t="n">
        <x:f>IF(G186=0,0,IF(H186=0,1,IF(H186&lt;=30,2,IF(H186&lt;=60,3,IF(H186&lt;=90,4,5)))))</x:f>
        <x:v>0</x:v>
      </x:c>
      <x:c r="K186" s="2" t="str">
        <x:f>'Invoices'!F186</x:f>
        <x:v>No</x:v>
      </x:c>
      <x:c r="L186" s="10" t="n">
        <x:f>'Start Here'!$B$5</x:f>
        <x:v>46295</x:v>
      </x:c>
    </x:row>
    <x:row r="187" ht="23" customHeight="1">
      <x:c r="A187" s="2" t="str">
        <x:f>'Invoices'!A187</x:f>
        <x:v>INV00183</x:v>
      </x:c>
      <x:c r="B187" s="2" t="str">
        <x:f>'Invoices'!B187</x:f>
        <x:v>C022</x:v>
      </x:c>
      <x:c r="C187" s="10" t="n">
        <x:f>'Invoices'!C187</x:f>
        <x:v>46212</x:v>
      </x:c>
      <x:c r="D187" s="10" t="n">
        <x:f>'Invoices'!D187</x:f>
        <x:v>46242</x:v>
      </x:c>
      <x:c r="E187" s="11" t="n">
        <x:f>'Invoices'!E187</x:f>
        <x:v>7796.13</x:v>
      </x:c>
      <x:c r="F187" s="11" t="n">
        <x:f>SUMIFS('Payments'!$E$5:$E$429,'Payments'!$B$5:$B$429,A187,'Payments'!$D$5:$D$429,"&lt;="&amp;'Start Here'!$B$5)</x:f>
        <x:v>7796.13</x:v>
      </x:c>
      <x:c r="G187" s="11" t="n">
        <x:f>ROUND(E187-F187,2)</x:f>
        <x:v>0</x:v>
      </x:c>
      <x:c r="H187" s="2" t="n">
        <x:f>IF(G187&gt;0,MAX(0,'Start Here'!$B$5-D187),0)</x:f>
        <x:v>0</x:v>
      </x:c>
      <x:c r="I187" s="2" t="str">
        <x:f>IF(G187=0,"Paid",IF(H187=0,"Current",IF(H187&lt;=30,"1-30",IF(H187&lt;=60,"31-60",IF(H187&lt;=90,"61-90","91+")))))</x:f>
        <x:v>Paid</x:v>
      </x:c>
      <x:c r="J187" s="2" t="n">
        <x:f>IF(G187=0,0,IF(H187=0,1,IF(H187&lt;=30,2,IF(H187&lt;=60,3,IF(H187&lt;=90,4,5)))))</x:f>
        <x:v>0</x:v>
      </x:c>
      <x:c r="K187" s="2" t="str">
        <x:f>'Invoices'!F187</x:f>
        <x:v>No</x:v>
      </x:c>
      <x:c r="L187" s="10" t="n">
        <x:f>'Start Here'!$B$5</x:f>
        <x:v>46295</x:v>
      </x:c>
    </x:row>
    <x:row r="188" ht="23" customHeight="1">
      <x:c r="A188" s="2" t="str">
        <x:f>'Invoices'!A188</x:f>
        <x:v>INV00184</x:v>
      </x:c>
      <x:c r="B188" s="2" t="str">
        <x:f>'Invoices'!B188</x:f>
        <x:v>C034</x:v>
      </x:c>
      <x:c r="C188" s="10" t="n">
        <x:f>'Invoices'!C188</x:f>
        <x:v>46111</x:v>
      </x:c>
      <x:c r="D188" s="10" t="n">
        <x:f>'Invoices'!D188</x:f>
        <x:v>46141</x:v>
      </x:c>
      <x:c r="E188" s="11" t="n">
        <x:f>'Invoices'!E188</x:f>
        <x:v>10097.13</x:v>
      </x:c>
      <x:c r="F188" s="11" t="n">
        <x:f>SUMIFS('Payments'!$E$5:$E$429,'Payments'!$B$5:$B$429,A188,'Payments'!$D$5:$D$429,"&lt;="&amp;'Start Here'!$B$5)</x:f>
        <x:v>10097.13</x:v>
      </x:c>
      <x:c r="G188" s="11" t="n">
        <x:f>ROUND(E188-F188,2)</x:f>
        <x:v>0</x:v>
      </x:c>
      <x:c r="H188" s="2" t="n">
        <x:f>IF(G188&gt;0,MAX(0,'Start Here'!$B$5-D188),0)</x:f>
        <x:v>0</x:v>
      </x:c>
      <x:c r="I188" s="2" t="str">
        <x:f>IF(G188=0,"Paid",IF(H188=0,"Current",IF(H188&lt;=30,"1-30",IF(H188&lt;=60,"31-60",IF(H188&lt;=90,"61-90","91+")))))</x:f>
        <x:v>Paid</x:v>
      </x:c>
      <x:c r="J188" s="2" t="n">
        <x:f>IF(G188=0,0,IF(H188=0,1,IF(H188&lt;=30,2,IF(H188&lt;=60,3,IF(H188&lt;=90,4,5)))))</x:f>
        <x:v>0</x:v>
      </x:c>
      <x:c r="K188" s="2" t="str">
        <x:f>'Invoices'!F188</x:f>
        <x:v>No</x:v>
      </x:c>
      <x:c r="L188" s="10" t="n">
        <x:f>'Start Here'!$B$5</x:f>
        <x:v>46295</x:v>
      </x:c>
    </x:row>
    <x:row r="189" ht="23" customHeight="1">
      <x:c r="A189" s="2" t="str">
        <x:f>'Invoices'!A189</x:f>
        <x:v>INV00185</x:v>
      </x:c>
      <x:c r="B189" s="2" t="str">
        <x:f>'Invoices'!B189</x:f>
        <x:v>C018</x:v>
      </x:c>
      <x:c r="C189" s="10" t="n">
        <x:f>'Invoices'!C189</x:f>
        <x:v>46286</x:v>
      </x:c>
      <x:c r="D189" s="10" t="n">
        <x:f>'Invoices'!D189</x:f>
        <x:v>46331</x:v>
      </x:c>
      <x:c r="E189" s="11" t="n">
        <x:f>'Invoices'!E189</x:f>
        <x:v>11495.16</x:v>
      </x:c>
      <x:c r="F189" s="11" t="n">
        <x:f>SUMIFS('Payments'!$E$5:$E$429,'Payments'!$B$5:$B$429,A189,'Payments'!$D$5:$D$429,"&lt;="&amp;'Start Here'!$B$5)</x:f>
        <x:v>0</x:v>
      </x:c>
      <x:c r="G189" s="11" t="n">
        <x:f>ROUND(E189-F189,2)</x:f>
        <x:v>11495.16</x:v>
      </x:c>
      <x:c r="H189" s="2" t="n">
        <x:f>IF(G189&gt;0,MAX(0,'Start Here'!$B$5-D189),0)</x:f>
        <x:v>0</x:v>
      </x:c>
      <x:c r="I189" s="2" t="str">
        <x:f>IF(G189=0,"Paid",IF(H189=0,"Current",IF(H189&lt;=30,"1-30",IF(H189&lt;=60,"31-60",IF(H189&lt;=90,"61-90","91+")))))</x:f>
        <x:v>Current</x:v>
      </x:c>
      <x:c r="J189" s="2" t="n">
        <x:f>IF(G189=0,0,IF(H189=0,1,IF(H189&lt;=30,2,IF(H189&lt;=60,3,IF(H189&lt;=90,4,5)))))</x:f>
        <x:v>1</x:v>
      </x:c>
      <x:c r="K189" s="2" t="str">
        <x:f>'Invoices'!F189</x:f>
        <x:v>No</x:v>
      </x:c>
      <x:c r="L189" s="10" t="n">
        <x:f>'Start Here'!$B$5</x:f>
        <x:v>46295</x:v>
      </x:c>
    </x:row>
    <x:row r="190" ht="23" customHeight="1">
      <x:c r="A190" s="2" t="str">
        <x:f>'Invoices'!A190</x:f>
        <x:v>INV00186</x:v>
      </x:c>
      <x:c r="B190" s="2" t="str">
        <x:f>'Invoices'!B190</x:f>
        <x:v>C007</x:v>
      </x:c>
      <x:c r="C190" s="10" t="n">
        <x:f>'Invoices'!C190</x:f>
        <x:v>46121</x:v>
      </x:c>
      <x:c r="D190" s="10" t="n">
        <x:f>'Invoices'!D190</x:f>
        <x:v>46136</x:v>
      </x:c>
      <x:c r="E190" s="11" t="n">
        <x:f>'Invoices'!E190</x:f>
        <x:v>14388.34</x:v>
      </x:c>
      <x:c r="F190" s="11" t="n">
        <x:f>SUMIFS('Payments'!$E$5:$E$429,'Payments'!$B$5:$B$429,A190,'Payments'!$D$5:$D$429,"&lt;="&amp;'Start Here'!$B$5)</x:f>
        <x:v>14388.34</x:v>
      </x:c>
      <x:c r="G190" s="11" t="n">
        <x:f>ROUND(E190-F190,2)</x:f>
        <x:v>0</x:v>
      </x:c>
      <x:c r="H190" s="2" t="n">
        <x:f>IF(G190&gt;0,MAX(0,'Start Here'!$B$5-D190),0)</x:f>
        <x:v>0</x:v>
      </x:c>
      <x:c r="I190" s="2" t="str">
        <x:f>IF(G190=0,"Paid",IF(H190=0,"Current",IF(H190&lt;=30,"1-30",IF(H190&lt;=60,"31-60",IF(H190&lt;=90,"61-90","91+")))))</x:f>
        <x:v>Paid</x:v>
      </x:c>
      <x:c r="J190" s="2" t="n">
        <x:f>IF(G190=0,0,IF(H190=0,1,IF(H190&lt;=30,2,IF(H190&lt;=60,3,IF(H190&lt;=90,4,5)))))</x:f>
        <x:v>0</x:v>
      </x:c>
      <x:c r="K190" s="2" t="str">
        <x:f>'Invoices'!F190</x:f>
        <x:v>No</x:v>
      </x:c>
      <x:c r="L190" s="10" t="n">
        <x:f>'Start Here'!$B$5</x:f>
        <x:v>46295</x:v>
      </x:c>
    </x:row>
    <x:row r="191" ht="23" customHeight="1">
      <x:c r="A191" s="2" t="str">
        <x:f>'Invoices'!A191</x:f>
        <x:v>INV00187</x:v>
      </x:c>
      <x:c r="B191" s="2" t="str">
        <x:f>'Invoices'!B191</x:f>
        <x:v>C009</x:v>
      </x:c>
      <x:c r="C191" s="10" t="n">
        <x:f>'Invoices'!C191</x:f>
        <x:v>46264</x:v>
      </x:c>
      <x:c r="D191" s="10" t="n">
        <x:f>'Invoices'!D191</x:f>
        <x:v>46324</x:v>
      </x:c>
      <x:c r="E191" s="11" t="n">
        <x:f>'Invoices'!E191</x:f>
        <x:v>19726.19</x:v>
      </x:c>
      <x:c r="F191" s="11" t="n">
        <x:f>SUMIFS('Payments'!$E$5:$E$429,'Payments'!$B$5:$B$429,A191,'Payments'!$D$5:$D$429,"&lt;="&amp;'Start Here'!$B$5)</x:f>
        <x:v>0</x:v>
      </x:c>
      <x:c r="G191" s="11" t="n">
        <x:f>ROUND(E191-F191,2)</x:f>
        <x:v>19726.19</x:v>
      </x:c>
      <x:c r="H191" s="2" t="n">
        <x:f>IF(G191&gt;0,MAX(0,'Start Here'!$B$5-D191),0)</x:f>
        <x:v>0</x:v>
      </x:c>
      <x:c r="I191" s="2" t="str">
        <x:f>IF(G191=0,"Paid",IF(H191=0,"Current",IF(H191&lt;=30,"1-30",IF(H191&lt;=60,"31-60",IF(H191&lt;=90,"61-90","91+")))))</x:f>
        <x:v>Current</x:v>
      </x:c>
      <x:c r="J191" s="2" t="n">
        <x:f>IF(G191=0,0,IF(H191=0,1,IF(H191&lt;=30,2,IF(H191&lt;=60,3,IF(H191&lt;=90,4,5)))))</x:f>
        <x:v>1</x:v>
      </x:c>
      <x:c r="K191" s="2" t="str">
        <x:f>'Invoices'!F191</x:f>
        <x:v>No</x:v>
      </x:c>
      <x:c r="L191" s="10" t="n">
        <x:f>'Start Here'!$B$5</x:f>
        <x:v>46295</x:v>
      </x:c>
    </x:row>
    <x:row r="192" ht="23" customHeight="1">
      <x:c r="A192" s="2" t="str">
        <x:f>'Invoices'!A192</x:f>
        <x:v>INV00188</x:v>
      </x:c>
      <x:c r="B192" s="2" t="str">
        <x:f>'Invoices'!B192</x:f>
        <x:v>C025</x:v>
      </x:c>
      <x:c r="C192" s="10" t="n">
        <x:f>'Invoices'!C192</x:f>
        <x:v>46097</x:v>
      </x:c>
      <x:c r="D192" s="10" t="n">
        <x:f>'Invoices'!D192</x:f>
        <x:v>46157</x:v>
      </x:c>
      <x:c r="E192" s="11" t="n">
        <x:f>'Invoices'!E192</x:f>
        <x:v>12735.52</x:v>
      </x:c>
      <x:c r="F192" s="11" t="n">
        <x:f>SUMIFS('Payments'!$E$5:$E$429,'Payments'!$B$5:$B$429,A192,'Payments'!$D$5:$D$429,"&lt;="&amp;'Start Here'!$B$5)</x:f>
        <x:v>12735.52</x:v>
      </x:c>
      <x:c r="G192" s="11" t="n">
        <x:f>ROUND(E192-F192,2)</x:f>
        <x:v>0</x:v>
      </x:c>
      <x:c r="H192" s="2" t="n">
        <x:f>IF(G192&gt;0,MAX(0,'Start Here'!$B$5-D192),0)</x:f>
        <x:v>0</x:v>
      </x:c>
      <x:c r="I192" s="2" t="str">
        <x:f>IF(G192=0,"Paid",IF(H192=0,"Current",IF(H192&lt;=30,"1-30",IF(H192&lt;=60,"31-60",IF(H192&lt;=90,"61-90","91+")))))</x:f>
        <x:v>Paid</x:v>
      </x:c>
      <x:c r="J192" s="2" t="n">
        <x:f>IF(G192=0,0,IF(H192=0,1,IF(H192&lt;=30,2,IF(H192&lt;=60,3,IF(H192&lt;=90,4,5)))))</x:f>
        <x:v>0</x:v>
      </x:c>
      <x:c r="K192" s="2" t="str">
        <x:f>'Invoices'!F192</x:f>
        <x:v>No</x:v>
      </x:c>
      <x:c r="L192" s="10" t="n">
        <x:f>'Start Here'!$B$5</x:f>
        <x:v>46295</x:v>
      </x:c>
    </x:row>
    <x:row r="193" ht="23" customHeight="1">
      <x:c r="A193" s="2" t="str">
        <x:f>'Invoices'!A193</x:f>
        <x:v>INV00189</x:v>
      </x:c>
      <x:c r="B193" s="2" t="str">
        <x:f>'Invoices'!B193</x:f>
        <x:v>C001</x:v>
      </x:c>
      <x:c r="C193" s="10" t="n">
        <x:f>'Invoices'!C193</x:f>
        <x:v>46209</x:v>
      </x:c>
      <x:c r="D193" s="10" t="n">
        <x:f>'Invoices'!D193</x:f>
        <x:v>46239</x:v>
      </x:c>
      <x:c r="E193" s="11" t="n">
        <x:f>'Invoices'!E193</x:f>
        <x:v>19996.38</x:v>
      </x:c>
      <x:c r="F193" s="11" t="n">
        <x:f>SUMIFS('Payments'!$E$5:$E$429,'Payments'!$B$5:$B$429,A193,'Payments'!$D$5:$D$429,"&lt;="&amp;'Start Here'!$B$5)</x:f>
        <x:v>0</x:v>
      </x:c>
      <x:c r="G193" s="11" t="n">
        <x:f>ROUND(E193-F193,2)</x:f>
        <x:v>19996.38</x:v>
      </x:c>
      <x:c r="H193" s="2" t="n">
        <x:f>IF(G193&gt;0,MAX(0,'Start Here'!$B$5-D193),0)</x:f>
        <x:v>56</x:v>
      </x:c>
      <x:c r="I193" s="2" t="str">
        <x:f>IF(G193=0,"Paid",IF(H193=0,"Current",IF(H193&lt;=30,"1-30",IF(H193&lt;=60,"31-60",IF(H193&lt;=90,"61-90","91+")))))</x:f>
        <x:v>31-60</x:v>
      </x:c>
      <x:c r="J193" s="2" t="n">
        <x:f>IF(G193=0,0,IF(H193=0,1,IF(H193&lt;=30,2,IF(H193&lt;=60,3,IF(H193&lt;=90,4,5)))))</x:f>
        <x:v>3</x:v>
      </x:c>
      <x:c r="K193" s="2" t="str">
        <x:f>'Invoices'!F193</x:f>
        <x:v>No</x:v>
      </x:c>
      <x:c r="L193" s="10" t="n">
        <x:f>'Start Here'!$B$5</x:f>
        <x:v>46295</x:v>
      </x:c>
    </x:row>
    <x:row r="194" ht="23" customHeight="1">
      <x:c r="A194" s="2" t="str">
        <x:f>'Invoices'!A194</x:f>
        <x:v>INV00190</x:v>
      </x:c>
      <x:c r="B194" s="2" t="str">
        <x:f>'Invoices'!B194</x:f>
        <x:v>C037</x:v>
      </x:c>
      <x:c r="C194" s="10" t="n">
        <x:f>'Invoices'!C194</x:f>
        <x:v>46093</x:v>
      </x:c>
      <x:c r="D194" s="10" t="n">
        <x:f>'Invoices'!D194</x:f>
        <x:v>46123</x:v>
      </x:c>
      <x:c r="E194" s="11" t="n">
        <x:f>'Invoices'!E194</x:f>
        <x:v>8949.42</x:v>
      </x:c>
      <x:c r="F194" s="11" t="n">
        <x:f>SUMIFS('Payments'!$E$5:$E$429,'Payments'!$B$5:$B$429,A194,'Payments'!$D$5:$D$429,"&lt;="&amp;'Start Here'!$B$5)</x:f>
        <x:v>8949.42</x:v>
      </x:c>
      <x:c r="G194" s="11" t="n">
        <x:f>ROUND(E194-F194,2)</x:f>
        <x:v>0</x:v>
      </x:c>
      <x:c r="H194" s="2" t="n">
        <x:f>IF(G194&gt;0,MAX(0,'Start Here'!$B$5-D194),0)</x:f>
        <x:v>0</x:v>
      </x:c>
      <x:c r="I194" s="2" t="str">
        <x:f>IF(G194=0,"Paid",IF(H194=0,"Current",IF(H194&lt;=30,"1-30",IF(H194&lt;=60,"31-60",IF(H194&lt;=90,"61-90","91+")))))</x:f>
        <x:v>Paid</x:v>
      </x:c>
      <x:c r="J194" s="2" t="n">
        <x:f>IF(G194=0,0,IF(H194=0,1,IF(H194&lt;=30,2,IF(H194&lt;=60,3,IF(H194&lt;=90,4,5)))))</x:f>
        <x:v>0</x:v>
      </x:c>
      <x:c r="K194" s="2" t="str">
        <x:f>'Invoices'!F194</x:f>
        <x:v>No</x:v>
      </x:c>
      <x:c r="L194" s="10" t="n">
        <x:f>'Start Here'!$B$5</x:f>
        <x:v>46295</x:v>
      </x:c>
    </x:row>
    <x:row r="195" ht="23" customHeight="1">
      <x:c r="A195" s="2" t="str">
        <x:f>'Invoices'!A195</x:f>
        <x:v>INV00191</x:v>
      </x:c>
      <x:c r="B195" s="2" t="str">
        <x:f>'Invoices'!B195</x:f>
        <x:v>C006</x:v>
      </x:c>
      <x:c r="C195" s="10" t="n">
        <x:f>'Invoices'!C195</x:f>
        <x:v>46065</x:v>
      </x:c>
      <x:c r="D195" s="10" t="n">
        <x:f>'Invoices'!D195</x:f>
        <x:v>46080</x:v>
      </x:c>
      <x:c r="E195" s="11" t="n">
        <x:f>'Invoices'!E195</x:f>
        <x:v>11310.38</x:v>
      </x:c>
      <x:c r="F195" s="11" t="n">
        <x:f>SUMIFS('Payments'!$E$5:$E$429,'Payments'!$B$5:$B$429,A195,'Payments'!$D$5:$D$429,"&lt;="&amp;'Start Here'!$B$5)</x:f>
        <x:v>11310.38</x:v>
      </x:c>
      <x:c r="G195" s="11" t="n">
        <x:f>ROUND(E195-F195,2)</x:f>
        <x:v>0</x:v>
      </x:c>
      <x:c r="H195" s="2" t="n">
        <x:f>IF(G195&gt;0,MAX(0,'Start Here'!$B$5-D195),0)</x:f>
        <x:v>0</x:v>
      </x:c>
      <x:c r="I195" s="2" t="str">
        <x:f>IF(G195=0,"Paid",IF(H195=0,"Current",IF(H195&lt;=30,"1-30",IF(H195&lt;=60,"31-60",IF(H195&lt;=90,"61-90","91+")))))</x:f>
        <x:v>Paid</x:v>
      </x:c>
      <x:c r="J195" s="2" t="n">
        <x:f>IF(G195=0,0,IF(H195=0,1,IF(H195&lt;=30,2,IF(H195&lt;=60,3,IF(H195&lt;=90,4,5)))))</x:f>
        <x:v>0</x:v>
      </x:c>
      <x:c r="K195" s="2" t="str">
        <x:f>'Invoices'!F195</x:f>
        <x:v>No</x:v>
      </x:c>
      <x:c r="L195" s="10" t="n">
        <x:f>'Start Here'!$B$5</x:f>
        <x:v>46295</x:v>
      </x:c>
    </x:row>
    <x:row r="196" ht="23" customHeight="1">
      <x:c r="A196" s="2" t="str">
        <x:f>'Invoices'!A196</x:f>
        <x:v>INV00192</x:v>
      </x:c>
      <x:c r="B196" s="2" t="str">
        <x:f>'Invoices'!B196</x:f>
        <x:v>C030</x:v>
      </x:c>
      <x:c r="C196" s="10" t="n">
        <x:f>'Invoices'!C196</x:f>
        <x:v>46220</x:v>
      </x:c>
      <x:c r="D196" s="10" t="n">
        <x:f>'Invoices'!D196</x:f>
        <x:v>46235</x:v>
      </x:c>
      <x:c r="E196" s="11" t="n">
        <x:f>'Invoices'!E196</x:f>
        <x:v>17654.27</x:v>
      </x:c>
      <x:c r="F196" s="11" t="n">
        <x:f>SUMIFS('Payments'!$E$5:$E$429,'Payments'!$B$5:$B$429,A196,'Payments'!$D$5:$D$429,"&lt;="&amp;'Start Here'!$B$5)</x:f>
        <x:v>17654.27</x:v>
      </x:c>
      <x:c r="G196" s="11" t="n">
        <x:f>ROUND(E196-F196,2)</x:f>
        <x:v>0</x:v>
      </x:c>
      <x:c r="H196" s="2" t="n">
        <x:f>IF(G196&gt;0,MAX(0,'Start Here'!$B$5-D196),0)</x:f>
        <x:v>0</x:v>
      </x:c>
      <x:c r="I196" s="2" t="str">
        <x:f>IF(G196=0,"Paid",IF(H196=0,"Current",IF(H196&lt;=30,"1-30",IF(H196&lt;=60,"31-60",IF(H196&lt;=90,"61-90","91+")))))</x:f>
        <x:v>Paid</x:v>
      </x:c>
      <x:c r="J196" s="2" t="n">
        <x:f>IF(G196=0,0,IF(H196=0,1,IF(H196&lt;=30,2,IF(H196&lt;=60,3,IF(H196&lt;=90,4,5)))))</x:f>
        <x:v>0</x:v>
      </x:c>
      <x:c r="K196" s="2" t="str">
        <x:f>'Invoices'!F196</x:f>
        <x:v>No</x:v>
      </x:c>
      <x:c r="L196" s="10" t="n">
        <x:f>'Start Here'!$B$5</x:f>
        <x:v>46295</x:v>
      </x:c>
    </x:row>
    <x:row r="197" ht="23" customHeight="1">
      <x:c r="A197" s="2" t="str">
        <x:f>'Invoices'!A197</x:f>
        <x:v>INV00193</x:v>
      </x:c>
      <x:c r="B197" s="2" t="str">
        <x:f>'Invoices'!B197</x:f>
        <x:v>C040</x:v>
      </x:c>
      <x:c r="C197" s="10" t="n">
        <x:f>'Invoices'!C197</x:f>
        <x:v>46202</x:v>
      </x:c>
      <x:c r="D197" s="10" t="n">
        <x:f>'Invoices'!D197</x:f>
        <x:v>46247</x:v>
      </x:c>
      <x:c r="E197" s="11" t="n">
        <x:f>'Invoices'!E197</x:f>
        <x:v>14972.5</x:v>
      </x:c>
      <x:c r="F197" s="11" t="n">
        <x:f>SUMIFS('Payments'!$E$5:$E$429,'Payments'!$B$5:$B$429,A197,'Payments'!$D$5:$D$429,"&lt;="&amp;'Start Here'!$B$5)</x:f>
        <x:v>14972.5</x:v>
      </x:c>
      <x:c r="G197" s="11" t="n">
        <x:f>ROUND(E197-F197,2)</x:f>
        <x:v>0</x:v>
      </x:c>
      <x:c r="H197" s="2" t="n">
        <x:f>IF(G197&gt;0,MAX(0,'Start Here'!$B$5-D197),0)</x:f>
        <x:v>0</x:v>
      </x:c>
      <x:c r="I197" s="2" t="str">
        <x:f>IF(G197=0,"Paid",IF(H197=0,"Current",IF(H197&lt;=30,"1-30",IF(H197&lt;=60,"31-60",IF(H197&lt;=90,"61-90","91+")))))</x:f>
        <x:v>Paid</x:v>
      </x:c>
      <x:c r="J197" s="2" t="n">
        <x:f>IF(G197=0,0,IF(H197=0,1,IF(H197&lt;=30,2,IF(H197&lt;=60,3,IF(H197&lt;=90,4,5)))))</x:f>
        <x:v>0</x:v>
      </x:c>
      <x:c r="K197" s="2" t="str">
        <x:f>'Invoices'!F197</x:f>
        <x:v>No</x:v>
      </x:c>
      <x:c r="L197" s="10" t="n">
        <x:f>'Start Here'!$B$5</x:f>
        <x:v>46295</x:v>
      </x:c>
    </x:row>
    <x:row r="198" ht="23" customHeight="1">
      <x:c r="A198" s="2" t="str">
        <x:f>'Invoices'!A198</x:f>
        <x:v>INV00194</x:v>
      </x:c>
      <x:c r="B198" s="2" t="str">
        <x:f>'Invoices'!B198</x:f>
        <x:v>C011</x:v>
      </x:c>
      <x:c r="C198" s="10" t="n">
        <x:f>'Invoices'!C198</x:f>
        <x:v>46055</x:v>
      </x:c>
      <x:c r="D198" s="10" t="n">
        <x:f>'Invoices'!D198</x:f>
        <x:v>46085</x:v>
      </x:c>
      <x:c r="E198" s="11" t="n">
        <x:f>'Invoices'!E198</x:f>
        <x:v>5723.65</x:v>
      </x:c>
      <x:c r="F198" s="11" t="n">
        <x:f>SUMIFS('Payments'!$E$5:$E$429,'Payments'!$B$5:$B$429,A198,'Payments'!$D$5:$D$429,"&lt;="&amp;'Start Here'!$B$5)</x:f>
        <x:v>0</x:v>
      </x:c>
      <x:c r="G198" s="11" t="n">
        <x:f>ROUND(E198-F198,2)</x:f>
        <x:v>5723.65</x:v>
      </x:c>
      <x:c r="H198" s="2" t="n">
        <x:f>IF(G198&gt;0,MAX(0,'Start Here'!$B$5-D198),0)</x:f>
        <x:v>210</x:v>
      </x:c>
      <x:c r="I198" s="2" t="str">
        <x:f>IF(G198=0,"Paid",IF(H198=0,"Current",IF(H198&lt;=30,"1-30",IF(H198&lt;=60,"31-60",IF(H198&lt;=90,"61-90","91+")))))</x:f>
        <x:v>91+</x:v>
      </x:c>
      <x:c r="J198" s="2" t="n">
        <x:f>IF(G198=0,0,IF(H198=0,1,IF(H198&lt;=30,2,IF(H198&lt;=60,3,IF(H198&lt;=90,4,5)))))</x:f>
        <x:v>5</x:v>
      </x:c>
      <x:c r="K198" s="2" t="str">
        <x:f>'Invoices'!F198</x:f>
        <x:v>No</x:v>
      </x:c>
      <x:c r="L198" s="10" t="n">
        <x:f>'Start Here'!$B$5</x:f>
        <x:v>46295</x:v>
      </x:c>
    </x:row>
    <x:row r="199" ht="23" customHeight="1">
      <x:c r="A199" s="2" t="str">
        <x:f>'Invoices'!A199</x:f>
        <x:v>INV00195</x:v>
      </x:c>
      <x:c r="B199" s="2" t="str">
        <x:f>'Invoices'!B199</x:f>
        <x:v>C001</x:v>
      </x:c>
      <x:c r="C199" s="10" t="n">
        <x:f>'Invoices'!C199</x:f>
        <x:v>46118</x:v>
      </x:c>
      <x:c r="D199" s="10" t="n">
        <x:f>'Invoices'!D199</x:f>
        <x:v>46178</x:v>
      </x:c>
      <x:c r="E199" s="11" t="n">
        <x:f>'Invoices'!E199</x:f>
        <x:v>10127.78</x:v>
      </x:c>
      <x:c r="F199" s="11" t="n">
        <x:f>SUMIFS('Payments'!$E$5:$E$429,'Payments'!$B$5:$B$429,A199,'Payments'!$D$5:$D$429,"&lt;="&amp;'Start Here'!$B$5)</x:f>
        <x:v>0</x:v>
      </x:c>
      <x:c r="G199" s="11" t="n">
        <x:f>ROUND(E199-F199,2)</x:f>
        <x:v>10127.78</x:v>
      </x:c>
      <x:c r="H199" s="2" t="n">
        <x:f>IF(G199&gt;0,MAX(0,'Start Here'!$B$5-D199),0)</x:f>
        <x:v>117</x:v>
      </x:c>
      <x:c r="I199" s="2" t="str">
        <x:f>IF(G199=0,"Paid",IF(H199=0,"Current",IF(H199&lt;=30,"1-30",IF(H199&lt;=60,"31-60",IF(H199&lt;=90,"61-90","91+")))))</x:f>
        <x:v>91+</x:v>
      </x:c>
      <x:c r="J199" s="2" t="n">
        <x:f>IF(G199=0,0,IF(H199=0,1,IF(H199&lt;=30,2,IF(H199&lt;=60,3,IF(H199&lt;=90,4,5)))))</x:f>
        <x:v>5</x:v>
      </x:c>
      <x:c r="K199" s="2" t="str">
        <x:f>'Invoices'!F199</x:f>
        <x:v>Yes</x:v>
      </x:c>
      <x:c r="L199" s="10" t="n">
        <x:f>'Start Here'!$B$5</x:f>
        <x:v>46295</x:v>
      </x:c>
    </x:row>
    <x:row r="200" ht="23" customHeight="1">
      <x:c r="A200" s="2" t="str">
        <x:f>'Invoices'!A200</x:f>
        <x:v>INV00196</x:v>
      </x:c>
      <x:c r="B200" s="2" t="str">
        <x:f>'Invoices'!B200</x:f>
        <x:v>C005</x:v>
      </x:c>
      <x:c r="C200" s="10" t="n">
        <x:f>'Invoices'!C200</x:f>
        <x:v>46130</x:v>
      </x:c>
      <x:c r="D200" s="10" t="n">
        <x:f>'Invoices'!D200</x:f>
        <x:v>46190</x:v>
      </x:c>
      <x:c r="E200" s="11" t="n">
        <x:f>'Invoices'!E200</x:f>
        <x:v>9400.24</x:v>
      </x:c>
      <x:c r="F200" s="11" t="n">
        <x:f>SUMIFS('Payments'!$E$5:$E$429,'Payments'!$B$5:$B$429,A200,'Payments'!$D$5:$D$429,"&lt;="&amp;'Start Here'!$B$5)</x:f>
        <x:v>9400.24</x:v>
      </x:c>
      <x:c r="G200" s="11" t="n">
        <x:f>ROUND(E200-F200,2)</x:f>
        <x:v>0</x:v>
      </x:c>
      <x:c r="H200" s="2" t="n">
        <x:f>IF(G200&gt;0,MAX(0,'Start Here'!$B$5-D200),0)</x:f>
        <x:v>0</x:v>
      </x:c>
      <x:c r="I200" s="2" t="str">
        <x:f>IF(G200=0,"Paid",IF(H200=0,"Current",IF(H200&lt;=30,"1-30",IF(H200&lt;=60,"31-60",IF(H200&lt;=90,"61-90","91+")))))</x:f>
        <x:v>Paid</x:v>
      </x:c>
      <x:c r="J200" s="2" t="n">
        <x:f>IF(G200=0,0,IF(H200=0,1,IF(H200&lt;=30,2,IF(H200&lt;=60,3,IF(H200&lt;=90,4,5)))))</x:f>
        <x:v>0</x:v>
      </x:c>
      <x:c r="K200" s="2" t="str">
        <x:f>'Invoices'!F200</x:f>
        <x:v>No</x:v>
      </x:c>
      <x:c r="L200" s="10" t="n">
        <x:f>'Start Here'!$B$5</x:f>
        <x:v>46295</x:v>
      </x:c>
    </x:row>
    <x:row r="201" ht="23" customHeight="1">
      <x:c r="A201" s="2" t="str">
        <x:f>'Invoices'!A201</x:f>
        <x:v>INV00197</x:v>
      </x:c>
      <x:c r="B201" s="2" t="str">
        <x:f>'Invoices'!B201</x:f>
        <x:v>C022</x:v>
      </x:c>
      <x:c r="C201" s="10" t="n">
        <x:f>'Invoices'!C201</x:f>
        <x:v>46200</x:v>
      </x:c>
      <x:c r="D201" s="10" t="n">
        <x:f>'Invoices'!D201</x:f>
        <x:v>46215</x:v>
      </x:c>
      <x:c r="E201" s="11" t="n">
        <x:f>'Invoices'!E201</x:f>
        <x:v>18140.3</x:v>
      </x:c>
      <x:c r="F201" s="11" t="n">
        <x:f>SUMIFS('Payments'!$E$5:$E$429,'Payments'!$B$5:$B$429,A201,'Payments'!$D$5:$D$429,"&lt;="&amp;'Start Here'!$B$5)</x:f>
        <x:v>18140.3</x:v>
      </x:c>
      <x:c r="G201" s="11" t="n">
        <x:f>ROUND(E201-F201,2)</x:f>
        <x:v>0</x:v>
      </x:c>
      <x:c r="H201" s="2" t="n">
        <x:f>IF(G201&gt;0,MAX(0,'Start Here'!$B$5-D201),0)</x:f>
        <x:v>0</x:v>
      </x:c>
      <x:c r="I201" s="2" t="str">
        <x:f>IF(G201=0,"Paid",IF(H201=0,"Current",IF(H201&lt;=30,"1-30",IF(H201&lt;=60,"31-60",IF(H201&lt;=90,"61-90","91+")))))</x:f>
        <x:v>Paid</x:v>
      </x:c>
      <x:c r="J201" s="2" t="n">
        <x:f>IF(G201=0,0,IF(H201=0,1,IF(H201&lt;=30,2,IF(H201&lt;=60,3,IF(H201&lt;=90,4,5)))))</x:f>
        <x:v>0</x:v>
      </x:c>
      <x:c r="K201" s="2" t="str">
        <x:f>'Invoices'!F201</x:f>
        <x:v>No</x:v>
      </x:c>
      <x:c r="L201" s="10" t="n">
        <x:f>'Start Here'!$B$5</x:f>
        <x:v>46295</x:v>
      </x:c>
    </x:row>
    <x:row r="202" ht="23" customHeight="1">
      <x:c r="A202" s="2" t="str">
        <x:f>'Invoices'!A202</x:f>
        <x:v>INV00198</x:v>
      </x:c>
      <x:c r="B202" s="2" t="str">
        <x:f>'Invoices'!B202</x:f>
        <x:v>C009</x:v>
      </x:c>
      <x:c r="C202" s="10" t="n">
        <x:f>'Invoices'!C202</x:f>
        <x:v>46053</x:v>
      </x:c>
      <x:c r="D202" s="10" t="n">
        <x:f>'Invoices'!D202</x:f>
        <x:v>46098</x:v>
      </x:c>
      <x:c r="E202" s="11" t="n">
        <x:f>'Invoices'!E202</x:f>
        <x:v>8976.19</x:v>
      </x:c>
      <x:c r="F202" s="11" t="n">
        <x:f>SUMIFS('Payments'!$E$5:$E$429,'Payments'!$B$5:$B$429,A202,'Payments'!$D$5:$D$429,"&lt;="&amp;'Start Here'!$B$5)</x:f>
        <x:v>8976.19</x:v>
      </x:c>
      <x:c r="G202" s="11" t="n">
        <x:f>ROUND(E202-F202,2)</x:f>
        <x:v>0</x:v>
      </x:c>
      <x:c r="H202" s="2" t="n">
        <x:f>IF(G202&gt;0,MAX(0,'Start Here'!$B$5-D202),0)</x:f>
        <x:v>0</x:v>
      </x:c>
      <x:c r="I202" s="2" t="str">
        <x:f>IF(G202=0,"Paid",IF(H202=0,"Current",IF(H202&lt;=30,"1-30",IF(H202&lt;=60,"31-60",IF(H202&lt;=90,"61-90","91+")))))</x:f>
        <x:v>Paid</x:v>
      </x:c>
      <x:c r="J202" s="2" t="n">
        <x:f>IF(G202=0,0,IF(H202=0,1,IF(H202&lt;=30,2,IF(H202&lt;=60,3,IF(H202&lt;=90,4,5)))))</x:f>
        <x:v>0</x:v>
      </x:c>
      <x:c r="K202" s="2" t="str">
        <x:f>'Invoices'!F202</x:f>
        <x:v>No</x:v>
      </x:c>
      <x:c r="L202" s="10" t="n">
        <x:f>'Start Here'!$B$5</x:f>
        <x:v>46295</x:v>
      </x:c>
    </x:row>
    <x:row r="203" ht="23" customHeight="1">
      <x:c r="A203" s="2" t="str">
        <x:f>'Invoices'!A203</x:f>
        <x:v>INV00199</x:v>
      </x:c>
      <x:c r="B203" s="2" t="str">
        <x:f>'Invoices'!B203</x:f>
        <x:v>C037</x:v>
      </x:c>
      <x:c r="C203" s="10" t="n">
        <x:f>'Invoices'!C203</x:f>
        <x:v>46203</x:v>
      </x:c>
      <x:c r="D203" s="10" t="n">
        <x:f>'Invoices'!D203</x:f>
        <x:v>46233</x:v>
      </x:c>
      <x:c r="E203" s="11" t="n">
        <x:f>'Invoices'!E203</x:f>
        <x:v>19586.86</x:v>
      </x:c>
      <x:c r="F203" s="11" t="n">
        <x:f>SUMIFS('Payments'!$E$5:$E$429,'Payments'!$B$5:$B$429,A203,'Payments'!$D$5:$D$429,"&lt;="&amp;'Start Here'!$B$5)</x:f>
        <x:v>19586.86</x:v>
      </x:c>
      <x:c r="G203" s="11" t="n">
        <x:f>ROUND(E203-F203,2)</x:f>
        <x:v>0</x:v>
      </x:c>
      <x:c r="H203" s="2" t="n">
        <x:f>IF(G203&gt;0,MAX(0,'Start Here'!$B$5-D203),0)</x:f>
        <x:v>0</x:v>
      </x:c>
      <x:c r="I203" s="2" t="str">
        <x:f>IF(G203=0,"Paid",IF(H203=0,"Current",IF(H203&lt;=30,"1-30",IF(H203&lt;=60,"31-60",IF(H203&lt;=90,"61-90","91+")))))</x:f>
        <x:v>Paid</x:v>
      </x:c>
      <x:c r="J203" s="2" t="n">
        <x:f>IF(G203=0,0,IF(H203=0,1,IF(H203&lt;=30,2,IF(H203&lt;=60,3,IF(H203&lt;=90,4,5)))))</x:f>
        <x:v>0</x:v>
      </x:c>
      <x:c r="K203" s="2" t="str">
        <x:f>'Invoices'!F203</x:f>
        <x:v>No</x:v>
      </x:c>
      <x:c r="L203" s="10" t="n">
        <x:f>'Start Here'!$B$5</x:f>
        <x:v>46295</x:v>
      </x:c>
    </x:row>
    <x:row r="204" ht="23" customHeight="1">
      <x:c r="A204" s="2" t="str">
        <x:f>'Invoices'!A204</x:f>
        <x:v>INV00200</x:v>
      </x:c>
      <x:c r="B204" s="2" t="str">
        <x:f>'Invoices'!B204</x:f>
        <x:v>C001</x:v>
      </x:c>
      <x:c r="C204" s="10" t="n">
        <x:f>'Invoices'!C204</x:f>
        <x:v>46134</x:v>
      </x:c>
      <x:c r="D204" s="10" t="n">
        <x:f>'Invoices'!D204</x:f>
        <x:v>46164</x:v>
      </x:c>
      <x:c r="E204" s="11" t="n">
        <x:f>'Invoices'!E204</x:f>
        <x:v>3359.67</x:v>
      </x:c>
      <x:c r="F204" s="11" t="n">
        <x:f>SUMIFS('Payments'!$E$5:$E$429,'Payments'!$B$5:$B$429,A204,'Payments'!$D$5:$D$429,"&lt;="&amp;'Start Here'!$B$5)</x:f>
        <x:v>3359.67</x:v>
      </x:c>
      <x:c r="G204" s="11" t="n">
        <x:f>ROUND(E204-F204,2)</x:f>
        <x:v>0</x:v>
      </x:c>
      <x:c r="H204" s="2" t="n">
        <x:f>IF(G204&gt;0,MAX(0,'Start Here'!$B$5-D204),0)</x:f>
        <x:v>0</x:v>
      </x:c>
      <x:c r="I204" s="2" t="str">
        <x:f>IF(G204=0,"Paid",IF(H204=0,"Current",IF(H204&lt;=30,"1-30",IF(H204&lt;=60,"31-60",IF(H204&lt;=90,"61-90","91+")))))</x:f>
        <x:v>Paid</x:v>
      </x:c>
      <x:c r="J204" s="2" t="n">
        <x:f>IF(G204=0,0,IF(H204=0,1,IF(H204&lt;=30,2,IF(H204&lt;=60,3,IF(H204&lt;=90,4,5)))))</x:f>
        <x:v>0</x:v>
      </x:c>
      <x:c r="K204" s="2" t="str">
        <x:f>'Invoices'!F204</x:f>
        <x:v>No</x:v>
      </x:c>
      <x:c r="L204" s="10" t="n">
        <x:f>'Start Here'!$B$5</x:f>
        <x:v>46295</x:v>
      </x:c>
    </x:row>
    <x:row r="205" ht="23" customHeight="1">
      <x:c r="A205" s="2" t="str">
        <x:f>'Invoices'!A205</x:f>
        <x:v>INV00201</x:v>
      </x:c>
      <x:c r="B205" s="2" t="str">
        <x:f>'Invoices'!B205</x:f>
        <x:v>C003</x:v>
      </x:c>
      <x:c r="C205" s="10" t="n">
        <x:f>'Invoices'!C205</x:f>
        <x:v>46193</x:v>
      </x:c>
      <x:c r="D205" s="10" t="n">
        <x:f>'Invoices'!D205</x:f>
        <x:v>46238</x:v>
      </x:c>
      <x:c r="E205" s="11" t="n">
        <x:f>'Invoices'!E205</x:f>
        <x:v>2145.75</x:v>
      </x:c>
      <x:c r="F205" s="11" t="n">
        <x:f>SUMIFS('Payments'!$E$5:$E$429,'Payments'!$B$5:$B$429,A205,'Payments'!$D$5:$D$429,"&lt;="&amp;'Start Here'!$B$5)</x:f>
        <x:v>1072.88</x:v>
      </x:c>
      <x:c r="G205" s="11" t="n">
        <x:f>ROUND(E205-F205,2)</x:f>
        <x:v>1072.87</x:v>
      </x:c>
      <x:c r="H205" s="2" t="n">
        <x:f>IF(G205&gt;0,MAX(0,'Start Here'!$B$5-D205),0)</x:f>
        <x:v>57</x:v>
      </x:c>
      <x:c r="I205" s="2" t="str">
        <x:f>IF(G205=0,"Paid",IF(H205=0,"Current",IF(H205&lt;=30,"1-30",IF(H205&lt;=60,"31-60",IF(H205&lt;=90,"61-90","91+")))))</x:f>
        <x:v>31-60</x:v>
      </x:c>
      <x:c r="J205" s="2" t="n">
        <x:f>IF(G205=0,0,IF(H205=0,1,IF(H205&lt;=30,2,IF(H205&lt;=60,3,IF(H205&lt;=90,4,5)))))</x:f>
        <x:v>3</x:v>
      </x:c>
      <x:c r="K205" s="2" t="str">
        <x:f>'Invoices'!F205</x:f>
        <x:v>No</x:v>
      </x:c>
      <x:c r="L205" s="10" t="n">
        <x:f>'Start Here'!$B$5</x:f>
        <x:v>46295</x:v>
      </x:c>
    </x:row>
    <x:row r="206" ht="23" customHeight="1">
      <x:c r="A206" s="2" t="str">
        <x:f>'Invoices'!A206</x:f>
        <x:v>INV00202</x:v>
      </x:c>
      <x:c r="B206" s="2" t="str">
        <x:f>'Invoices'!B206</x:f>
        <x:v>C038</x:v>
      </x:c>
      <x:c r="C206" s="10" t="n">
        <x:f>'Invoices'!C206</x:f>
        <x:v>46266</x:v>
      </x:c>
      <x:c r="D206" s="10" t="n">
        <x:f>'Invoices'!D206</x:f>
        <x:v>46281</x:v>
      </x:c>
      <x:c r="E206" s="11" t="n">
        <x:f>'Invoices'!E206</x:f>
        <x:v>4357.65</x:v>
      </x:c>
      <x:c r="F206" s="11" t="n">
        <x:f>SUMIFS('Payments'!$E$5:$E$429,'Payments'!$B$5:$B$429,A206,'Payments'!$D$5:$D$429,"&lt;="&amp;'Start Here'!$B$5)</x:f>
        <x:v>4357.65</x:v>
      </x:c>
      <x:c r="G206" s="11" t="n">
        <x:f>ROUND(E206-F206,2)</x:f>
        <x:v>0</x:v>
      </x:c>
      <x:c r="H206" s="2" t="n">
        <x:f>IF(G206&gt;0,MAX(0,'Start Here'!$B$5-D206),0)</x:f>
        <x:v>0</x:v>
      </x:c>
      <x:c r="I206" s="2" t="str">
        <x:f>IF(G206=0,"Paid",IF(H206=0,"Current",IF(H206&lt;=30,"1-30",IF(H206&lt;=60,"31-60",IF(H206&lt;=90,"61-90","91+")))))</x:f>
        <x:v>Paid</x:v>
      </x:c>
      <x:c r="J206" s="2" t="n">
        <x:f>IF(G206=0,0,IF(H206=0,1,IF(H206&lt;=30,2,IF(H206&lt;=60,3,IF(H206&lt;=90,4,5)))))</x:f>
        <x:v>0</x:v>
      </x:c>
      <x:c r="K206" s="2" t="str">
        <x:f>'Invoices'!F206</x:f>
        <x:v>No</x:v>
      </x:c>
      <x:c r="L206" s="10" t="n">
        <x:f>'Start Here'!$B$5</x:f>
        <x:v>46295</x:v>
      </x:c>
    </x:row>
    <x:row r="207" ht="23" customHeight="1">
      <x:c r="A207" s="2" t="str">
        <x:f>'Invoices'!A207</x:f>
        <x:v>INV00203</x:v>
      </x:c>
      <x:c r="B207" s="2" t="str">
        <x:f>'Invoices'!B207</x:f>
        <x:v>C027</x:v>
      </x:c>
      <x:c r="C207" s="10" t="n">
        <x:f>'Invoices'!C207</x:f>
        <x:v>46030</x:v>
      </x:c>
      <x:c r="D207" s="10" t="n">
        <x:f>'Invoices'!D207</x:f>
        <x:v>46060</x:v>
      </x:c>
      <x:c r="E207" s="11" t="n">
        <x:f>'Invoices'!E207</x:f>
        <x:v>7431.09</x:v>
      </x:c>
      <x:c r="F207" s="11" t="n">
        <x:f>SUMIFS('Payments'!$E$5:$E$429,'Payments'!$B$5:$B$429,A207,'Payments'!$D$5:$D$429,"&lt;="&amp;'Start Here'!$B$5)</x:f>
        <x:v>0</x:v>
      </x:c>
      <x:c r="G207" s="11" t="n">
        <x:f>ROUND(E207-F207,2)</x:f>
        <x:v>7431.09</x:v>
      </x:c>
      <x:c r="H207" s="2" t="n">
        <x:f>IF(G207&gt;0,MAX(0,'Start Here'!$B$5-D207),0)</x:f>
        <x:v>235</x:v>
      </x:c>
      <x:c r="I207" s="2" t="str">
        <x:f>IF(G207=0,"Paid",IF(H207=0,"Current",IF(H207&lt;=30,"1-30",IF(H207&lt;=60,"31-60",IF(H207&lt;=90,"61-90","91+")))))</x:f>
        <x:v>91+</x:v>
      </x:c>
      <x:c r="J207" s="2" t="n">
        <x:f>IF(G207=0,0,IF(H207=0,1,IF(H207&lt;=30,2,IF(H207&lt;=60,3,IF(H207&lt;=90,4,5)))))</x:f>
        <x:v>5</x:v>
      </x:c>
      <x:c r="K207" s="2" t="str">
        <x:f>'Invoices'!F207</x:f>
        <x:v>Yes</x:v>
      </x:c>
      <x:c r="L207" s="10" t="n">
        <x:f>'Start Here'!$B$5</x:f>
        <x:v>46295</x:v>
      </x:c>
    </x:row>
    <x:row r="208" ht="23" customHeight="1">
      <x:c r="A208" s="2" t="str">
        <x:f>'Invoices'!A208</x:f>
        <x:v>INV00204</x:v>
      </x:c>
      <x:c r="B208" s="2" t="str">
        <x:f>'Invoices'!B208</x:f>
        <x:v>C018</x:v>
      </x:c>
      <x:c r="C208" s="10" t="n">
        <x:f>'Invoices'!C208</x:f>
        <x:v>46034</x:v>
      </x:c>
      <x:c r="D208" s="10" t="n">
        <x:f>'Invoices'!D208</x:f>
        <x:v>46049</x:v>
      </x:c>
      <x:c r="E208" s="11" t="n">
        <x:f>'Invoices'!E208</x:f>
        <x:v>1252.04</x:v>
      </x:c>
      <x:c r="F208" s="11" t="n">
        <x:f>SUMIFS('Payments'!$E$5:$E$429,'Payments'!$B$5:$B$429,A208,'Payments'!$D$5:$D$429,"&lt;="&amp;'Start Here'!$B$5)</x:f>
        <x:v>1252.04</x:v>
      </x:c>
      <x:c r="G208" s="11" t="n">
        <x:f>ROUND(E208-F208,2)</x:f>
        <x:v>0</x:v>
      </x:c>
      <x:c r="H208" s="2" t="n">
        <x:f>IF(G208&gt;0,MAX(0,'Start Here'!$B$5-D208),0)</x:f>
        <x:v>0</x:v>
      </x:c>
      <x:c r="I208" s="2" t="str">
        <x:f>IF(G208=0,"Paid",IF(H208=0,"Current",IF(H208&lt;=30,"1-30",IF(H208&lt;=60,"31-60",IF(H208&lt;=90,"61-90","91+")))))</x:f>
        <x:v>Paid</x:v>
      </x:c>
      <x:c r="J208" s="2" t="n">
        <x:f>IF(G208=0,0,IF(H208=0,1,IF(H208&lt;=30,2,IF(H208&lt;=60,3,IF(H208&lt;=90,4,5)))))</x:f>
        <x:v>0</x:v>
      </x:c>
      <x:c r="K208" s="2" t="str">
        <x:f>'Invoices'!F208</x:f>
        <x:v>No</x:v>
      </x:c>
      <x:c r="L208" s="10" t="n">
        <x:f>'Start Here'!$B$5</x:f>
        <x:v>46295</x:v>
      </x:c>
    </x:row>
    <x:row r="209" ht="23" customHeight="1">
      <x:c r="A209" s="2" t="str">
        <x:f>'Invoices'!A209</x:f>
        <x:v>INV00205</x:v>
      </x:c>
      <x:c r="B209" s="2" t="str">
        <x:f>'Invoices'!B209</x:f>
        <x:v>C021</x:v>
      </x:c>
      <x:c r="C209" s="10" t="n">
        <x:f>'Invoices'!C209</x:f>
        <x:v>46172</x:v>
      </x:c>
      <x:c r="D209" s="10" t="n">
        <x:f>'Invoices'!D209</x:f>
        <x:v>46217</x:v>
      </x:c>
      <x:c r="E209" s="11" t="n">
        <x:f>'Invoices'!E209</x:f>
        <x:v>12363.1</x:v>
      </x:c>
      <x:c r="F209" s="11" t="n">
        <x:f>SUMIFS('Payments'!$E$5:$E$429,'Payments'!$B$5:$B$429,A209,'Payments'!$D$5:$D$429,"&lt;="&amp;'Start Here'!$B$5)</x:f>
        <x:v>12363.1</x:v>
      </x:c>
      <x:c r="G209" s="11" t="n">
        <x:f>ROUND(E209-F209,2)</x:f>
        <x:v>0</x:v>
      </x:c>
      <x:c r="H209" s="2" t="n">
        <x:f>IF(G209&gt;0,MAX(0,'Start Here'!$B$5-D209),0)</x:f>
        <x:v>0</x:v>
      </x:c>
      <x:c r="I209" s="2" t="str">
        <x:f>IF(G209=0,"Paid",IF(H209=0,"Current",IF(H209&lt;=30,"1-30",IF(H209&lt;=60,"31-60",IF(H209&lt;=90,"61-90","91+")))))</x:f>
        <x:v>Paid</x:v>
      </x:c>
      <x:c r="J209" s="2" t="n">
        <x:f>IF(G209=0,0,IF(H209=0,1,IF(H209&lt;=30,2,IF(H209&lt;=60,3,IF(H209&lt;=90,4,5)))))</x:f>
        <x:v>0</x:v>
      </x:c>
      <x:c r="K209" s="2" t="str">
        <x:f>'Invoices'!F209</x:f>
        <x:v>No</x:v>
      </x:c>
      <x:c r="L209" s="10" t="n">
        <x:f>'Start Here'!$B$5</x:f>
        <x:v>46295</x:v>
      </x:c>
    </x:row>
    <x:row r="210" ht="23" customHeight="1">
      <x:c r="A210" s="2" t="str">
        <x:f>'Invoices'!A210</x:f>
        <x:v>INV00206</x:v>
      </x:c>
      <x:c r="B210" s="2" t="str">
        <x:f>'Invoices'!B210</x:f>
        <x:v>C033</x:v>
      </x:c>
      <x:c r="C210" s="10" t="n">
        <x:f>'Invoices'!C210</x:f>
        <x:v>46107</x:v>
      </x:c>
      <x:c r="D210" s="10" t="n">
        <x:f>'Invoices'!D210</x:f>
        <x:v>46122</x:v>
      </x:c>
      <x:c r="E210" s="11" t="n">
        <x:f>'Invoices'!E210</x:f>
        <x:v>8812.55</x:v>
      </x:c>
      <x:c r="F210" s="11" t="n">
        <x:f>SUMIFS('Payments'!$E$5:$E$429,'Payments'!$B$5:$B$429,A210,'Payments'!$D$5:$D$429,"&lt;="&amp;'Start Here'!$B$5)</x:f>
        <x:v>8812.55</x:v>
      </x:c>
      <x:c r="G210" s="11" t="n">
        <x:f>ROUND(E210-F210,2)</x:f>
        <x:v>0</x:v>
      </x:c>
      <x:c r="H210" s="2" t="n">
        <x:f>IF(G210&gt;0,MAX(0,'Start Here'!$B$5-D210),0)</x:f>
        <x:v>0</x:v>
      </x:c>
      <x:c r="I210" s="2" t="str">
        <x:f>IF(G210=0,"Paid",IF(H210=0,"Current",IF(H210&lt;=30,"1-30",IF(H210&lt;=60,"31-60",IF(H210&lt;=90,"61-90","91+")))))</x:f>
        <x:v>Paid</x:v>
      </x:c>
      <x:c r="J210" s="2" t="n">
        <x:f>IF(G210=0,0,IF(H210=0,1,IF(H210&lt;=30,2,IF(H210&lt;=60,3,IF(H210&lt;=90,4,5)))))</x:f>
        <x:v>0</x:v>
      </x:c>
      <x:c r="K210" s="2" t="str">
        <x:f>'Invoices'!F210</x:f>
        <x:v>No</x:v>
      </x:c>
      <x:c r="L210" s="10" t="n">
        <x:f>'Start Here'!$B$5</x:f>
        <x:v>46295</x:v>
      </x:c>
    </x:row>
    <x:row r="211" ht="23" customHeight="1">
      <x:c r="A211" s="2" t="str">
        <x:f>'Invoices'!A211</x:f>
        <x:v>INV00207</x:v>
      </x:c>
      <x:c r="B211" s="2" t="str">
        <x:f>'Invoices'!B211</x:f>
        <x:v>C031</x:v>
      </x:c>
      <x:c r="C211" s="10" t="n">
        <x:f>'Invoices'!C211</x:f>
        <x:v>46202</x:v>
      </x:c>
      <x:c r="D211" s="10" t="n">
        <x:f>'Invoices'!D211</x:f>
        <x:v>46232</x:v>
      </x:c>
      <x:c r="E211" s="11" t="n">
        <x:f>'Invoices'!E211</x:f>
        <x:v>14539.4</x:v>
      </x:c>
      <x:c r="F211" s="11" t="n">
        <x:f>SUMIFS('Payments'!$E$5:$E$429,'Payments'!$B$5:$B$429,A211,'Payments'!$D$5:$D$429,"&lt;="&amp;'Start Here'!$B$5)</x:f>
        <x:v>14539.4</x:v>
      </x:c>
      <x:c r="G211" s="11" t="n">
        <x:f>ROUND(E211-F211,2)</x:f>
        <x:v>0</x:v>
      </x:c>
      <x:c r="H211" s="2" t="n">
        <x:f>IF(G211&gt;0,MAX(0,'Start Here'!$B$5-D211),0)</x:f>
        <x:v>0</x:v>
      </x:c>
      <x:c r="I211" s="2" t="str">
        <x:f>IF(G211=0,"Paid",IF(H211=0,"Current",IF(H211&lt;=30,"1-30",IF(H211&lt;=60,"31-60",IF(H211&lt;=90,"61-90","91+")))))</x:f>
        <x:v>Paid</x:v>
      </x:c>
      <x:c r="J211" s="2" t="n">
        <x:f>IF(G211=0,0,IF(H211=0,1,IF(H211&lt;=30,2,IF(H211&lt;=60,3,IF(H211&lt;=90,4,5)))))</x:f>
        <x:v>0</x:v>
      </x:c>
      <x:c r="K211" s="2" t="str">
        <x:f>'Invoices'!F211</x:f>
        <x:v>No</x:v>
      </x:c>
      <x:c r="L211" s="10" t="n">
        <x:f>'Start Here'!$B$5</x:f>
        <x:v>46295</x:v>
      </x:c>
    </x:row>
    <x:row r="212" ht="23" customHeight="1">
      <x:c r="A212" s="2" t="str">
        <x:f>'Invoices'!A212</x:f>
        <x:v>INV00208</x:v>
      </x:c>
      <x:c r="B212" s="2" t="str">
        <x:f>'Invoices'!B212</x:f>
        <x:v>C018</x:v>
      </x:c>
      <x:c r="C212" s="10" t="n">
        <x:f>'Invoices'!C212</x:f>
        <x:v>46144</x:v>
      </x:c>
      <x:c r="D212" s="10" t="n">
        <x:f>'Invoices'!D212</x:f>
        <x:v>46174</x:v>
      </x:c>
      <x:c r="E212" s="11" t="n">
        <x:f>'Invoices'!E212</x:f>
        <x:v>4737.72</x:v>
      </x:c>
      <x:c r="F212" s="11" t="n">
        <x:f>SUMIFS('Payments'!$E$5:$E$429,'Payments'!$B$5:$B$429,A212,'Payments'!$D$5:$D$429,"&lt;="&amp;'Start Here'!$B$5)</x:f>
        <x:v>4737.72</x:v>
      </x:c>
      <x:c r="G212" s="11" t="n">
        <x:f>ROUND(E212-F212,2)</x:f>
        <x:v>0</x:v>
      </x:c>
      <x:c r="H212" s="2" t="n">
        <x:f>IF(G212&gt;0,MAX(0,'Start Here'!$B$5-D212),0)</x:f>
        <x:v>0</x:v>
      </x:c>
      <x:c r="I212" s="2" t="str">
        <x:f>IF(G212=0,"Paid",IF(H212=0,"Current",IF(H212&lt;=30,"1-30",IF(H212&lt;=60,"31-60",IF(H212&lt;=90,"61-90","91+")))))</x:f>
        <x:v>Paid</x:v>
      </x:c>
      <x:c r="J212" s="2" t="n">
        <x:f>IF(G212=0,0,IF(H212=0,1,IF(H212&lt;=30,2,IF(H212&lt;=60,3,IF(H212&lt;=90,4,5)))))</x:f>
        <x:v>0</x:v>
      </x:c>
      <x:c r="K212" s="2" t="str">
        <x:f>'Invoices'!F212</x:f>
        <x:v>No</x:v>
      </x:c>
      <x:c r="L212" s="10" t="n">
        <x:f>'Start Here'!$B$5</x:f>
        <x:v>46295</x:v>
      </x:c>
    </x:row>
    <x:row r="213" ht="23" customHeight="1">
      <x:c r="A213" s="2" t="str">
        <x:f>'Invoices'!A213</x:f>
        <x:v>INV00209</x:v>
      </x:c>
      <x:c r="B213" s="2" t="str">
        <x:f>'Invoices'!B213</x:f>
        <x:v>C016</x:v>
      </x:c>
      <x:c r="C213" s="10" t="n">
        <x:f>'Invoices'!C213</x:f>
        <x:v>46155</x:v>
      </x:c>
      <x:c r="D213" s="10" t="n">
        <x:f>'Invoices'!D213</x:f>
        <x:v>46200</x:v>
      </x:c>
      <x:c r="E213" s="11" t="n">
        <x:f>'Invoices'!E213</x:f>
        <x:v>18914.71</x:v>
      </x:c>
      <x:c r="F213" s="11" t="n">
        <x:f>SUMIFS('Payments'!$E$5:$E$429,'Payments'!$B$5:$B$429,A213,'Payments'!$D$5:$D$429,"&lt;="&amp;'Start Here'!$B$5)</x:f>
        <x:v>0</x:v>
      </x:c>
      <x:c r="G213" s="11" t="n">
        <x:f>ROUND(E213-F213,2)</x:f>
        <x:v>18914.71</x:v>
      </x:c>
      <x:c r="H213" s="2" t="n">
        <x:f>IF(G213&gt;0,MAX(0,'Start Here'!$B$5-D213),0)</x:f>
        <x:v>95</x:v>
      </x:c>
      <x:c r="I213" s="2" t="str">
        <x:f>IF(G213=0,"Paid",IF(H213=0,"Current",IF(H213&lt;=30,"1-30",IF(H213&lt;=60,"31-60",IF(H213&lt;=90,"61-90","91+")))))</x:f>
        <x:v>91+</x:v>
      </x:c>
      <x:c r="J213" s="2" t="n">
        <x:f>IF(G213=0,0,IF(H213=0,1,IF(H213&lt;=30,2,IF(H213&lt;=60,3,IF(H213&lt;=90,4,5)))))</x:f>
        <x:v>5</x:v>
      </x:c>
      <x:c r="K213" s="2" t="str">
        <x:f>'Invoices'!F213</x:f>
        <x:v>No</x:v>
      </x:c>
      <x:c r="L213" s="10" t="n">
        <x:f>'Start Here'!$B$5</x:f>
        <x:v>46295</x:v>
      </x:c>
    </x:row>
    <x:row r="214" ht="23" customHeight="1">
      <x:c r="A214" s="2" t="str">
        <x:f>'Invoices'!A214</x:f>
        <x:v>INV00210</x:v>
      </x:c>
      <x:c r="B214" s="2" t="str">
        <x:f>'Invoices'!B214</x:f>
        <x:v>C033</x:v>
      </x:c>
      <x:c r="C214" s="10" t="n">
        <x:f>'Invoices'!C214</x:f>
        <x:v>46163</x:v>
      </x:c>
      <x:c r="D214" s="10" t="n">
        <x:f>'Invoices'!D214</x:f>
        <x:v>46193</x:v>
      </x:c>
      <x:c r="E214" s="11" t="n">
        <x:f>'Invoices'!E214</x:f>
        <x:v>19844.81</x:v>
      </x:c>
      <x:c r="F214" s="11" t="n">
        <x:f>SUMIFS('Payments'!$E$5:$E$429,'Payments'!$B$5:$B$429,A214,'Payments'!$D$5:$D$429,"&lt;="&amp;'Start Here'!$B$5)</x:f>
        <x:v>19844.81</x:v>
      </x:c>
      <x:c r="G214" s="11" t="n">
        <x:f>ROUND(E214-F214,2)</x:f>
        <x:v>0</x:v>
      </x:c>
      <x:c r="H214" s="2" t="n">
        <x:f>IF(G214&gt;0,MAX(0,'Start Here'!$B$5-D214),0)</x:f>
        <x:v>0</x:v>
      </x:c>
      <x:c r="I214" s="2" t="str">
        <x:f>IF(G214=0,"Paid",IF(H214=0,"Current",IF(H214&lt;=30,"1-30",IF(H214&lt;=60,"31-60",IF(H214&lt;=90,"61-90","91+")))))</x:f>
        <x:v>Paid</x:v>
      </x:c>
      <x:c r="J214" s="2" t="n">
        <x:f>IF(G214=0,0,IF(H214=0,1,IF(H214&lt;=30,2,IF(H214&lt;=60,3,IF(H214&lt;=90,4,5)))))</x:f>
        <x:v>0</x:v>
      </x:c>
      <x:c r="K214" s="2" t="str">
        <x:f>'Invoices'!F214</x:f>
        <x:v>No</x:v>
      </x:c>
      <x:c r="L214" s="10" t="n">
        <x:f>'Start Here'!$B$5</x:f>
        <x:v>46295</x:v>
      </x:c>
    </x:row>
    <x:row r="215" ht="23" customHeight="1">
      <x:c r="A215" s="2" t="str">
        <x:f>'Invoices'!A215</x:f>
        <x:v>INV00211</x:v>
      </x:c>
      <x:c r="B215" s="2" t="str">
        <x:f>'Invoices'!B215</x:f>
        <x:v>C033</x:v>
      </x:c>
      <x:c r="C215" s="10" t="n">
        <x:f>'Invoices'!C215</x:f>
        <x:v>46293</x:v>
      </x:c>
      <x:c r="D215" s="10" t="n">
        <x:f>'Invoices'!D215</x:f>
        <x:v>46323</x:v>
      </x:c>
      <x:c r="E215" s="11" t="n">
        <x:f>'Invoices'!E215</x:f>
        <x:v>9293.38</x:v>
      </x:c>
      <x:c r="F215" s="11" t="n">
        <x:f>SUMIFS('Payments'!$E$5:$E$429,'Payments'!$B$5:$B$429,A215,'Payments'!$D$5:$D$429,"&lt;="&amp;'Start Here'!$B$5)</x:f>
        <x:v>0</x:v>
      </x:c>
      <x:c r="G215" s="11" t="n">
        <x:f>ROUND(E215-F215,2)</x:f>
        <x:v>9293.38</x:v>
      </x:c>
      <x:c r="H215" s="2" t="n">
        <x:f>IF(G215&gt;0,MAX(0,'Start Here'!$B$5-D215),0)</x:f>
        <x:v>0</x:v>
      </x:c>
      <x:c r="I215" s="2" t="str">
        <x:f>IF(G215=0,"Paid",IF(H215=0,"Current",IF(H215&lt;=30,"1-30",IF(H215&lt;=60,"31-60",IF(H215&lt;=90,"61-90","91+")))))</x:f>
        <x:v>Current</x:v>
      </x:c>
      <x:c r="J215" s="2" t="n">
        <x:f>IF(G215=0,0,IF(H215=0,1,IF(H215&lt;=30,2,IF(H215&lt;=60,3,IF(H215&lt;=90,4,5)))))</x:f>
        <x:v>1</x:v>
      </x:c>
      <x:c r="K215" s="2" t="str">
        <x:f>'Invoices'!F215</x:f>
        <x:v>Yes</x:v>
      </x:c>
      <x:c r="L215" s="10" t="n">
        <x:f>'Start Here'!$B$5</x:f>
        <x:v>46295</x:v>
      </x:c>
    </x:row>
    <x:row r="216" ht="23" customHeight="1">
      <x:c r="A216" s="2" t="str">
        <x:f>'Invoices'!A216</x:f>
        <x:v>INV00212</x:v>
      </x:c>
      <x:c r="B216" s="2" t="str">
        <x:f>'Invoices'!B216</x:f>
        <x:v>C026</x:v>
      </x:c>
      <x:c r="C216" s="10" t="n">
        <x:f>'Invoices'!C216</x:f>
        <x:v>46172</x:v>
      </x:c>
      <x:c r="D216" s="10" t="n">
        <x:f>'Invoices'!D216</x:f>
        <x:v>46217</x:v>
      </x:c>
      <x:c r="E216" s="11" t="n">
        <x:f>'Invoices'!E216</x:f>
        <x:v>17036.97</x:v>
      </x:c>
      <x:c r="F216" s="11" t="n">
        <x:f>SUMIFS('Payments'!$E$5:$E$429,'Payments'!$B$5:$B$429,A216,'Payments'!$D$5:$D$429,"&lt;="&amp;'Start Here'!$B$5)</x:f>
        <x:v>17036.97</x:v>
      </x:c>
      <x:c r="G216" s="11" t="n">
        <x:f>ROUND(E216-F216,2)</x:f>
        <x:v>0</x:v>
      </x:c>
      <x:c r="H216" s="2" t="n">
        <x:f>IF(G216&gt;0,MAX(0,'Start Here'!$B$5-D216),0)</x:f>
        <x:v>0</x:v>
      </x:c>
      <x:c r="I216" s="2" t="str">
        <x:f>IF(G216=0,"Paid",IF(H216=0,"Current",IF(H216&lt;=30,"1-30",IF(H216&lt;=60,"31-60",IF(H216&lt;=90,"61-90","91+")))))</x:f>
        <x:v>Paid</x:v>
      </x:c>
      <x:c r="J216" s="2" t="n">
        <x:f>IF(G216=0,0,IF(H216=0,1,IF(H216&lt;=30,2,IF(H216&lt;=60,3,IF(H216&lt;=90,4,5)))))</x:f>
        <x:v>0</x:v>
      </x:c>
      <x:c r="K216" s="2" t="str">
        <x:f>'Invoices'!F216</x:f>
        <x:v>No</x:v>
      </x:c>
      <x:c r="L216" s="10" t="n">
        <x:f>'Start Here'!$B$5</x:f>
        <x:v>46295</x:v>
      </x:c>
    </x:row>
    <x:row r="217" ht="23" customHeight="1">
      <x:c r="A217" s="2" t="str">
        <x:f>'Invoices'!A217</x:f>
        <x:v>INV00213</x:v>
      </x:c>
      <x:c r="B217" s="2" t="str">
        <x:f>'Invoices'!B217</x:f>
        <x:v>C031</x:v>
      </x:c>
      <x:c r="C217" s="10" t="n">
        <x:f>'Invoices'!C217</x:f>
        <x:v>46253</x:v>
      </x:c>
      <x:c r="D217" s="10" t="n">
        <x:f>'Invoices'!D217</x:f>
        <x:v>46283</x:v>
      </x:c>
      <x:c r="E217" s="11" t="n">
        <x:f>'Invoices'!E217</x:f>
        <x:v>11273.24</x:v>
      </x:c>
      <x:c r="F217" s="11" t="n">
        <x:f>SUMIFS('Payments'!$E$5:$E$429,'Payments'!$B$5:$B$429,A217,'Payments'!$D$5:$D$429,"&lt;="&amp;'Start Here'!$B$5)</x:f>
        <x:v>0</x:v>
      </x:c>
      <x:c r="G217" s="11" t="n">
        <x:f>ROUND(E217-F217,2)</x:f>
        <x:v>11273.24</x:v>
      </x:c>
      <x:c r="H217" s="2" t="n">
        <x:f>IF(G217&gt;0,MAX(0,'Start Here'!$B$5-D217),0)</x:f>
        <x:v>12</x:v>
      </x:c>
      <x:c r="I217" s="2" t="str">
        <x:f>IF(G217=0,"Paid",IF(H217=0,"Current",IF(H217&lt;=30,"1-30",IF(H217&lt;=60,"31-60",IF(H217&lt;=90,"61-90","91+")))))</x:f>
        <x:v>1-30</x:v>
      </x:c>
      <x:c r="J217" s="2" t="n">
        <x:f>IF(G217=0,0,IF(H217=0,1,IF(H217&lt;=30,2,IF(H217&lt;=60,3,IF(H217&lt;=90,4,5)))))</x:f>
        <x:v>2</x:v>
      </x:c>
      <x:c r="K217" s="2" t="str">
        <x:f>'Invoices'!F217</x:f>
        <x:v>No</x:v>
      </x:c>
      <x:c r="L217" s="10" t="n">
        <x:f>'Start Here'!$B$5</x:f>
        <x:v>46295</x:v>
      </x:c>
    </x:row>
    <x:row r="218" ht="23" customHeight="1">
      <x:c r="A218" s="2" t="str">
        <x:f>'Invoices'!A218</x:f>
        <x:v>INV00214</x:v>
      </x:c>
      <x:c r="B218" s="2" t="str">
        <x:f>'Invoices'!B218</x:f>
        <x:v>C008</x:v>
      </x:c>
      <x:c r="C218" s="10" t="n">
        <x:f>'Invoices'!C218</x:f>
        <x:v>46030</x:v>
      </x:c>
      <x:c r="D218" s="10" t="n">
        <x:f>'Invoices'!D218</x:f>
        <x:v>46060</x:v>
      </x:c>
      <x:c r="E218" s="11" t="n">
        <x:f>'Invoices'!E218</x:f>
        <x:v>10286.91</x:v>
      </x:c>
      <x:c r="F218" s="11" t="n">
        <x:f>SUMIFS('Payments'!$E$5:$E$429,'Payments'!$B$5:$B$429,A218,'Payments'!$D$5:$D$429,"&lt;="&amp;'Start Here'!$B$5)</x:f>
        <x:v>10286.91</x:v>
      </x:c>
      <x:c r="G218" s="11" t="n">
        <x:f>ROUND(E218-F218,2)</x:f>
        <x:v>0</x:v>
      </x:c>
      <x:c r="H218" s="2" t="n">
        <x:f>IF(G218&gt;0,MAX(0,'Start Here'!$B$5-D218),0)</x:f>
        <x:v>0</x:v>
      </x:c>
      <x:c r="I218" s="2" t="str">
        <x:f>IF(G218=0,"Paid",IF(H218=0,"Current",IF(H218&lt;=30,"1-30",IF(H218&lt;=60,"31-60",IF(H218&lt;=90,"61-90","91+")))))</x:f>
        <x:v>Paid</x:v>
      </x:c>
      <x:c r="J218" s="2" t="n">
        <x:f>IF(G218=0,0,IF(H218=0,1,IF(H218&lt;=30,2,IF(H218&lt;=60,3,IF(H218&lt;=90,4,5)))))</x:f>
        <x:v>0</x:v>
      </x:c>
      <x:c r="K218" s="2" t="str">
        <x:f>'Invoices'!F218</x:f>
        <x:v>No</x:v>
      </x:c>
      <x:c r="L218" s="10" t="n">
        <x:f>'Start Here'!$B$5</x:f>
        <x:v>46295</x:v>
      </x:c>
    </x:row>
    <x:row r="219" ht="23" customHeight="1">
      <x:c r="A219" s="2" t="str">
        <x:f>'Invoices'!A219</x:f>
        <x:v>INV00215</x:v>
      </x:c>
      <x:c r="B219" s="2" t="str">
        <x:f>'Invoices'!B219</x:f>
        <x:v>C011</x:v>
      </x:c>
      <x:c r="C219" s="10" t="n">
        <x:f>'Invoices'!C219</x:f>
        <x:v>46057</x:v>
      </x:c>
      <x:c r="D219" s="10" t="n">
        <x:f>'Invoices'!D219</x:f>
        <x:v>46102</x:v>
      </x:c>
      <x:c r="E219" s="11" t="n">
        <x:f>'Invoices'!E219</x:f>
        <x:v>11728.98</x:v>
      </x:c>
      <x:c r="F219" s="11" t="n">
        <x:f>SUMIFS('Payments'!$E$5:$E$429,'Payments'!$B$5:$B$429,A219,'Payments'!$D$5:$D$429,"&lt;="&amp;'Start Here'!$B$5)</x:f>
        <x:v>11728.980000000001</x:v>
      </x:c>
      <x:c r="G219" s="11" t="n">
        <x:f>ROUND(E219-F219,2)</x:f>
        <x:v>0</x:v>
      </x:c>
      <x:c r="H219" s="2" t="n">
        <x:f>IF(G219&gt;0,MAX(0,'Start Here'!$B$5-D219),0)</x:f>
        <x:v>0</x:v>
      </x:c>
      <x:c r="I219" s="2" t="str">
        <x:f>IF(G219=0,"Paid",IF(H219=0,"Current",IF(H219&lt;=30,"1-30",IF(H219&lt;=60,"31-60",IF(H219&lt;=90,"61-90","91+")))))</x:f>
        <x:v>Paid</x:v>
      </x:c>
      <x:c r="J219" s="2" t="n">
        <x:f>IF(G219=0,0,IF(H219=0,1,IF(H219&lt;=30,2,IF(H219&lt;=60,3,IF(H219&lt;=90,4,5)))))</x:f>
        <x:v>0</x:v>
      </x:c>
      <x:c r="K219" s="2" t="str">
        <x:f>'Invoices'!F219</x:f>
        <x:v>No</x:v>
      </x:c>
      <x:c r="L219" s="10" t="n">
        <x:f>'Start Here'!$B$5</x:f>
        <x:v>46295</x:v>
      </x:c>
    </x:row>
    <x:row r="220" ht="23" customHeight="1">
      <x:c r="A220" s="2" t="str">
        <x:f>'Invoices'!A220</x:f>
        <x:v>INV00216</x:v>
      </x:c>
      <x:c r="B220" s="2" t="str">
        <x:f>'Invoices'!B220</x:f>
        <x:v>C040</x:v>
      </x:c>
      <x:c r="C220" s="10" t="n">
        <x:f>'Invoices'!C220</x:f>
        <x:v>46153</x:v>
      </x:c>
      <x:c r="D220" s="10" t="n">
        <x:f>'Invoices'!D220</x:f>
        <x:v>46213</x:v>
      </x:c>
      <x:c r="E220" s="11" t="n">
        <x:f>'Invoices'!E220</x:f>
        <x:v>8297.08</x:v>
      </x:c>
      <x:c r="F220" s="11" t="n">
        <x:f>SUMIFS('Payments'!$E$5:$E$429,'Payments'!$B$5:$B$429,A220,'Payments'!$D$5:$D$429,"&lt;="&amp;'Start Here'!$B$5)</x:f>
        <x:v>8297.08</x:v>
      </x:c>
      <x:c r="G220" s="11" t="n">
        <x:f>ROUND(E220-F220,2)</x:f>
        <x:v>0</x:v>
      </x:c>
      <x:c r="H220" s="2" t="n">
        <x:f>IF(G220&gt;0,MAX(0,'Start Here'!$B$5-D220),0)</x:f>
        <x:v>0</x:v>
      </x:c>
      <x:c r="I220" s="2" t="str">
        <x:f>IF(G220=0,"Paid",IF(H220=0,"Current",IF(H220&lt;=30,"1-30",IF(H220&lt;=60,"31-60",IF(H220&lt;=90,"61-90","91+")))))</x:f>
        <x:v>Paid</x:v>
      </x:c>
      <x:c r="J220" s="2" t="n">
        <x:f>IF(G220=0,0,IF(H220=0,1,IF(H220&lt;=30,2,IF(H220&lt;=60,3,IF(H220&lt;=90,4,5)))))</x:f>
        <x:v>0</x:v>
      </x:c>
      <x:c r="K220" s="2" t="str">
        <x:f>'Invoices'!F220</x:f>
        <x:v>No</x:v>
      </x:c>
      <x:c r="L220" s="10" t="n">
        <x:f>'Start Here'!$B$5</x:f>
        <x:v>46295</x:v>
      </x:c>
    </x:row>
    <x:row r="221" ht="23" customHeight="1">
      <x:c r="A221" s="2" t="str">
        <x:f>'Invoices'!A221</x:f>
        <x:v>INV00217</x:v>
      </x:c>
      <x:c r="B221" s="2" t="str">
        <x:f>'Invoices'!B221</x:f>
        <x:v>C030</x:v>
      </x:c>
      <x:c r="C221" s="10" t="n">
        <x:f>'Invoices'!C221</x:f>
        <x:v>46252</x:v>
      </x:c>
      <x:c r="D221" s="10" t="n">
        <x:f>'Invoices'!D221</x:f>
        <x:v>46267</x:v>
      </x:c>
      <x:c r="E221" s="11" t="n">
        <x:f>'Invoices'!E221</x:f>
        <x:v>9969.84</x:v>
      </x:c>
      <x:c r="F221" s="11" t="n">
        <x:f>SUMIFS('Payments'!$E$5:$E$429,'Payments'!$B$5:$B$429,A221,'Payments'!$D$5:$D$429,"&lt;="&amp;'Start Here'!$B$5)</x:f>
        <x:v>9969.84</x:v>
      </x:c>
      <x:c r="G221" s="11" t="n">
        <x:f>ROUND(E221-F221,2)</x:f>
        <x:v>0</x:v>
      </x:c>
      <x:c r="H221" s="2" t="n">
        <x:f>IF(G221&gt;0,MAX(0,'Start Here'!$B$5-D221),0)</x:f>
        <x:v>0</x:v>
      </x:c>
      <x:c r="I221" s="2" t="str">
        <x:f>IF(G221=0,"Paid",IF(H221=0,"Current",IF(H221&lt;=30,"1-30",IF(H221&lt;=60,"31-60",IF(H221&lt;=90,"61-90","91+")))))</x:f>
        <x:v>Paid</x:v>
      </x:c>
      <x:c r="J221" s="2" t="n">
        <x:f>IF(G221=0,0,IF(H221=0,1,IF(H221&lt;=30,2,IF(H221&lt;=60,3,IF(H221&lt;=90,4,5)))))</x:f>
        <x:v>0</x:v>
      </x:c>
      <x:c r="K221" s="2" t="str">
        <x:f>'Invoices'!F221</x:f>
        <x:v>No</x:v>
      </x:c>
      <x:c r="L221" s="10" t="n">
        <x:f>'Start Here'!$B$5</x:f>
        <x:v>46295</x:v>
      </x:c>
    </x:row>
    <x:row r="222" ht="23" customHeight="1">
      <x:c r="A222" s="2" t="str">
        <x:f>'Invoices'!A222</x:f>
        <x:v>INV00218</x:v>
      </x:c>
      <x:c r="B222" s="2" t="str">
        <x:f>'Invoices'!B222</x:f>
        <x:v>C017</x:v>
      </x:c>
      <x:c r="C222" s="10" t="n">
        <x:f>'Invoices'!C222</x:f>
        <x:v>46233</x:v>
      </x:c>
      <x:c r="D222" s="10" t="n">
        <x:f>'Invoices'!D222</x:f>
        <x:v>46293</x:v>
      </x:c>
      <x:c r="E222" s="11" t="n">
        <x:f>'Invoices'!E222</x:f>
        <x:v>3733.78</x:v>
      </x:c>
      <x:c r="F222" s="11" t="n">
        <x:f>SUMIFS('Payments'!$E$5:$E$429,'Payments'!$B$5:$B$429,A222,'Payments'!$D$5:$D$429,"&lt;="&amp;'Start Here'!$B$5)</x:f>
        <x:v>2240.27</x:v>
      </x:c>
      <x:c r="G222" s="11" t="n">
        <x:f>ROUND(E222-F222,2)</x:f>
        <x:v>1493.51</x:v>
      </x:c>
      <x:c r="H222" s="2" t="n">
        <x:f>IF(G222&gt;0,MAX(0,'Start Here'!$B$5-D222),0)</x:f>
        <x:v>2</x:v>
      </x:c>
      <x:c r="I222" s="2" t="str">
        <x:f>IF(G222=0,"Paid",IF(H222=0,"Current",IF(H222&lt;=30,"1-30",IF(H222&lt;=60,"31-60",IF(H222&lt;=90,"61-90","91+")))))</x:f>
        <x:v>1-30</x:v>
      </x:c>
      <x:c r="J222" s="2" t="n">
        <x:f>IF(G222=0,0,IF(H222=0,1,IF(H222&lt;=30,2,IF(H222&lt;=60,3,IF(H222&lt;=90,4,5)))))</x:f>
        <x:v>2</x:v>
      </x:c>
      <x:c r="K222" s="2" t="str">
        <x:f>'Invoices'!F222</x:f>
        <x:v>No</x:v>
      </x:c>
      <x:c r="L222" s="10" t="n">
        <x:f>'Start Here'!$B$5</x:f>
        <x:v>46295</x:v>
      </x:c>
    </x:row>
    <x:row r="223" ht="23" customHeight="1">
      <x:c r="A223" s="2" t="str">
        <x:f>'Invoices'!A223</x:f>
        <x:v>INV00219</x:v>
      </x:c>
      <x:c r="B223" s="2" t="str">
        <x:f>'Invoices'!B223</x:f>
        <x:v>C024</x:v>
      </x:c>
      <x:c r="C223" s="10" t="n">
        <x:f>'Invoices'!C223</x:f>
        <x:v>46035</x:v>
      </x:c>
      <x:c r="D223" s="10" t="n">
        <x:f>'Invoices'!D223</x:f>
        <x:v>46080</x:v>
      </x:c>
      <x:c r="E223" s="11" t="n">
        <x:f>'Invoices'!E223</x:f>
        <x:v>18319</x:v>
      </x:c>
      <x:c r="F223" s="11" t="n">
        <x:f>SUMIFS('Payments'!$E$5:$E$429,'Payments'!$B$5:$B$429,A223,'Payments'!$D$5:$D$429,"&lt;="&amp;'Start Here'!$B$5)</x:f>
        <x:v>18319</x:v>
      </x:c>
      <x:c r="G223" s="11" t="n">
        <x:f>ROUND(E223-F223,2)</x:f>
        <x:v>0</x:v>
      </x:c>
      <x:c r="H223" s="2" t="n">
        <x:f>IF(G223&gt;0,MAX(0,'Start Here'!$B$5-D223),0)</x:f>
        <x:v>0</x:v>
      </x:c>
      <x:c r="I223" s="2" t="str">
        <x:f>IF(G223=0,"Paid",IF(H223=0,"Current",IF(H223&lt;=30,"1-30",IF(H223&lt;=60,"31-60",IF(H223&lt;=90,"61-90","91+")))))</x:f>
        <x:v>Paid</x:v>
      </x:c>
      <x:c r="J223" s="2" t="n">
        <x:f>IF(G223=0,0,IF(H223=0,1,IF(H223&lt;=30,2,IF(H223&lt;=60,3,IF(H223&lt;=90,4,5)))))</x:f>
        <x:v>0</x:v>
      </x:c>
      <x:c r="K223" s="2" t="str">
        <x:f>'Invoices'!F223</x:f>
        <x:v>No</x:v>
      </x:c>
      <x:c r="L223" s="10" t="n">
        <x:f>'Start Here'!$B$5</x:f>
        <x:v>46295</x:v>
      </x:c>
    </x:row>
    <x:row r="224" ht="23" customHeight="1">
      <x:c r="A224" s="2" t="str">
        <x:f>'Invoices'!A224</x:f>
        <x:v>INV00220</x:v>
      </x:c>
      <x:c r="B224" s="2" t="str">
        <x:f>'Invoices'!B224</x:f>
        <x:v>C007</x:v>
      </x:c>
      <x:c r="C224" s="10" t="n">
        <x:f>'Invoices'!C224</x:f>
        <x:v>46246</x:v>
      </x:c>
      <x:c r="D224" s="10" t="n">
        <x:f>'Invoices'!D224</x:f>
        <x:v>46276</x:v>
      </x:c>
      <x:c r="E224" s="11" t="n">
        <x:f>'Invoices'!E224</x:f>
        <x:v>11804.17</x:v>
      </x:c>
      <x:c r="F224" s="11" t="n">
        <x:f>SUMIFS('Payments'!$E$5:$E$429,'Payments'!$B$5:$B$429,A224,'Payments'!$D$5:$D$429,"&lt;="&amp;'Start Here'!$B$5)</x:f>
        <x:v>0</x:v>
      </x:c>
      <x:c r="G224" s="11" t="n">
        <x:f>ROUND(E224-F224,2)</x:f>
        <x:v>11804.17</x:v>
      </x:c>
      <x:c r="H224" s="2" t="n">
        <x:f>IF(G224&gt;0,MAX(0,'Start Here'!$B$5-D224),0)</x:f>
        <x:v>19</x:v>
      </x:c>
      <x:c r="I224" s="2" t="str">
        <x:f>IF(G224=0,"Paid",IF(H224=0,"Current",IF(H224&lt;=30,"1-30",IF(H224&lt;=60,"31-60",IF(H224&lt;=90,"61-90","91+")))))</x:f>
        <x:v>1-30</x:v>
      </x:c>
      <x:c r="J224" s="2" t="n">
        <x:f>IF(G224=0,0,IF(H224=0,1,IF(H224&lt;=30,2,IF(H224&lt;=60,3,IF(H224&lt;=90,4,5)))))</x:f>
        <x:v>2</x:v>
      </x:c>
      <x:c r="K224" s="2" t="str">
        <x:f>'Invoices'!F224</x:f>
        <x:v>No</x:v>
      </x:c>
      <x:c r="L224" s="10" t="n">
        <x:f>'Start Here'!$B$5</x:f>
        <x:v>46295</x:v>
      </x:c>
    </x:row>
    <x:row r="225" ht="23" customHeight="1">
      <x:c r="A225" s="2" t="str">
        <x:f>'Invoices'!A225</x:f>
        <x:v>INV00221</x:v>
      </x:c>
      <x:c r="B225" s="2" t="str">
        <x:f>'Invoices'!B225</x:f>
        <x:v>C026</x:v>
      </x:c>
      <x:c r="C225" s="10" t="n">
        <x:f>'Invoices'!C225</x:f>
        <x:v>46116</x:v>
      </x:c>
      <x:c r="D225" s="10" t="n">
        <x:f>'Invoices'!D225</x:f>
        <x:v>46131</x:v>
      </x:c>
      <x:c r="E225" s="11" t="n">
        <x:f>'Invoices'!E225</x:f>
        <x:v>10071.97</x:v>
      </x:c>
      <x:c r="F225" s="11" t="n">
        <x:f>SUMIFS('Payments'!$E$5:$E$429,'Payments'!$B$5:$B$429,A225,'Payments'!$D$5:$D$429,"&lt;="&amp;'Start Here'!$B$5)</x:f>
        <x:v>10071.97</x:v>
      </x:c>
      <x:c r="G225" s="11" t="n">
        <x:f>ROUND(E225-F225,2)</x:f>
        <x:v>0</x:v>
      </x:c>
      <x:c r="H225" s="2" t="n">
        <x:f>IF(G225&gt;0,MAX(0,'Start Here'!$B$5-D225),0)</x:f>
        <x:v>0</x:v>
      </x:c>
      <x:c r="I225" s="2" t="str">
        <x:f>IF(G225=0,"Paid",IF(H225=0,"Current",IF(H225&lt;=30,"1-30",IF(H225&lt;=60,"31-60",IF(H225&lt;=90,"61-90","91+")))))</x:f>
        <x:v>Paid</x:v>
      </x:c>
      <x:c r="J225" s="2" t="n">
        <x:f>IF(G225=0,0,IF(H225=0,1,IF(H225&lt;=30,2,IF(H225&lt;=60,3,IF(H225&lt;=90,4,5)))))</x:f>
        <x:v>0</x:v>
      </x:c>
      <x:c r="K225" s="2" t="str">
        <x:f>'Invoices'!F225</x:f>
        <x:v>No</x:v>
      </x:c>
      <x:c r="L225" s="10" t="n">
        <x:f>'Start Here'!$B$5</x:f>
        <x:v>46295</x:v>
      </x:c>
    </x:row>
    <x:row r="226" ht="23" customHeight="1">
      <x:c r="A226" s="2" t="str">
        <x:f>'Invoices'!A226</x:f>
        <x:v>INV00222</x:v>
      </x:c>
      <x:c r="B226" s="2" t="str">
        <x:f>'Invoices'!B226</x:f>
        <x:v>C015</x:v>
      </x:c>
      <x:c r="C226" s="10" t="n">
        <x:f>'Invoices'!C226</x:f>
        <x:v>46032</x:v>
      </x:c>
      <x:c r="D226" s="10" t="n">
        <x:f>'Invoices'!D226</x:f>
        <x:v>46077</x:v>
      </x:c>
      <x:c r="E226" s="11" t="n">
        <x:f>'Invoices'!E226</x:f>
        <x:v>12472.65</x:v>
      </x:c>
      <x:c r="F226" s="11" t="n">
        <x:f>SUMIFS('Payments'!$E$5:$E$429,'Payments'!$B$5:$B$429,A226,'Payments'!$D$5:$D$429,"&lt;="&amp;'Start Here'!$B$5)</x:f>
        <x:v>12472.65</x:v>
      </x:c>
      <x:c r="G226" s="11" t="n">
        <x:f>ROUND(E226-F226,2)</x:f>
        <x:v>0</x:v>
      </x:c>
      <x:c r="H226" s="2" t="n">
        <x:f>IF(G226&gt;0,MAX(0,'Start Here'!$B$5-D226),0)</x:f>
        <x:v>0</x:v>
      </x:c>
      <x:c r="I226" s="2" t="str">
        <x:f>IF(G226=0,"Paid",IF(H226=0,"Current",IF(H226&lt;=30,"1-30",IF(H226&lt;=60,"31-60",IF(H226&lt;=90,"61-90","91+")))))</x:f>
        <x:v>Paid</x:v>
      </x:c>
      <x:c r="J226" s="2" t="n">
        <x:f>IF(G226=0,0,IF(H226=0,1,IF(H226&lt;=30,2,IF(H226&lt;=60,3,IF(H226&lt;=90,4,5)))))</x:f>
        <x:v>0</x:v>
      </x:c>
      <x:c r="K226" s="2" t="str">
        <x:f>'Invoices'!F226</x:f>
        <x:v>No</x:v>
      </x:c>
      <x:c r="L226" s="10" t="n">
        <x:f>'Start Here'!$B$5</x:f>
        <x:v>46295</x:v>
      </x:c>
    </x:row>
    <x:row r="227" ht="23" customHeight="1">
      <x:c r="A227" s="2" t="str">
        <x:f>'Invoices'!A227</x:f>
        <x:v>INV00223</x:v>
      </x:c>
      <x:c r="B227" s="2" t="str">
        <x:f>'Invoices'!B227</x:f>
        <x:v>C019</x:v>
      </x:c>
      <x:c r="C227" s="10" t="n">
        <x:f>'Invoices'!C227</x:f>
        <x:v>46248</x:v>
      </x:c>
      <x:c r="D227" s="10" t="n">
        <x:f>'Invoices'!D227</x:f>
        <x:v>46263</x:v>
      </x:c>
      <x:c r="E227" s="11" t="n">
        <x:f>'Invoices'!E227</x:f>
        <x:v>17837.23</x:v>
      </x:c>
      <x:c r="F227" s="11" t="n">
        <x:f>SUMIFS('Payments'!$E$5:$E$429,'Payments'!$B$5:$B$429,A227,'Payments'!$D$5:$D$429,"&lt;="&amp;'Start Here'!$B$5)</x:f>
        <x:v>10702.34</x:v>
      </x:c>
      <x:c r="G227" s="11" t="n">
        <x:f>ROUND(E227-F227,2)</x:f>
        <x:v>7134.89</x:v>
      </x:c>
      <x:c r="H227" s="2" t="n">
        <x:f>IF(G227&gt;0,MAX(0,'Start Here'!$B$5-D227),0)</x:f>
        <x:v>32</x:v>
      </x:c>
      <x:c r="I227" s="2" t="str">
        <x:f>IF(G227=0,"Paid",IF(H227=0,"Current",IF(H227&lt;=30,"1-30",IF(H227&lt;=60,"31-60",IF(H227&lt;=90,"61-90","91+")))))</x:f>
        <x:v>31-60</x:v>
      </x:c>
      <x:c r="J227" s="2" t="n">
        <x:f>IF(G227=0,0,IF(H227=0,1,IF(H227&lt;=30,2,IF(H227&lt;=60,3,IF(H227&lt;=90,4,5)))))</x:f>
        <x:v>3</x:v>
      </x:c>
      <x:c r="K227" s="2" t="str">
        <x:f>'Invoices'!F227</x:f>
        <x:v>No</x:v>
      </x:c>
      <x:c r="L227" s="10" t="n">
        <x:f>'Start Here'!$B$5</x:f>
        <x:v>46295</x:v>
      </x:c>
    </x:row>
    <x:row r="228" ht="23" customHeight="1">
      <x:c r="A228" s="2" t="str">
        <x:f>'Invoices'!A228</x:f>
        <x:v>INV00224</x:v>
      </x:c>
      <x:c r="B228" s="2" t="str">
        <x:f>'Invoices'!B228</x:f>
        <x:v>C008</x:v>
      </x:c>
      <x:c r="C228" s="10" t="n">
        <x:f>'Invoices'!C228</x:f>
        <x:v>46291</x:v>
      </x:c>
      <x:c r="D228" s="10" t="n">
        <x:f>'Invoices'!D228</x:f>
        <x:v>46321</x:v>
      </x:c>
      <x:c r="E228" s="11" t="n">
        <x:f>'Invoices'!E228</x:f>
        <x:v>14434.4</x:v>
      </x:c>
      <x:c r="F228" s="11" t="n">
        <x:f>SUMIFS('Payments'!$E$5:$E$429,'Payments'!$B$5:$B$429,A228,'Payments'!$D$5:$D$429,"&lt;="&amp;'Start Here'!$B$5)</x:f>
        <x:v>0</x:v>
      </x:c>
      <x:c r="G228" s="11" t="n">
        <x:f>ROUND(E228-F228,2)</x:f>
        <x:v>14434.4</x:v>
      </x:c>
      <x:c r="H228" s="2" t="n">
        <x:f>IF(G228&gt;0,MAX(0,'Start Here'!$B$5-D228),0)</x:f>
        <x:v>0</x:v>
      </x:c>
      <x:c r="I228" s="2" t="str">
        <x:f>IF(G228=0,"Paid",IF(H228=0,"Current",IF(H228&lt;=30,"1-30",IF(H228&lt;=60,"31-60",IF(H228&lt;=90,"61-90","91+")))))</x:f>
        <x:v>Current</x:v>
      </x:c>
      <x:c r="J228" s="2" t="n">
        <x:f>IF(G228=0,0,IF(H228=0,1,IF(H228&lt;=30,2,IF(H228&lt;=60,3,IF(H228&lt;=90,4,5)))))</x:f>
        <x:v>1</x:v>
      </x:c>
      <x:c r="K228" s="2" t="str">
        <x:f>'Invoices'!F228</x:f>
        <x:v>No</x:v>
      </x:c>
      <x:c r="L228" s="10" t="n">
        <x:f>'Start Here'!$B$5</x:f>
        <x:v>46295</x:v>
      </x:c>
    </x:row>
    <x:row r="229" ht="23" customHeight="1">
      <x:c r="A229" s="2" t="str">
        <x:f>'Invoices'!A229</x:f>
        <x:v>INV00225</x:v>
      </x:c>
      <x:c r="B229" s="2" t="str">
        <x:f>'Invoices'!B229</x:f>
        <x:v>C037</x:v>
      </x:c>
      <x:c r="C229" s="10" t="n">
        <x:f>'Invoices'!C229</x:f>
        <x:v>46245</x:v>
      </x:c>
      <x:c r="D229" s="10" t="n">
        <x:f>'Invoices'!D229</x:f>
        <x:v>46305</x:v>
      </x:c>
      <x:c r="E229" s="11" t="n">
        <x:f>'Invoices'!E229</x:f>
        <x:v>6720.2</x:v>
      </x:c>
      <x:c r="F229" s="11" t="n">
        <x:f>SUMIFS('Payments'!$E$5:$E$429,'Payments'!$B$5:$B$429,A229,'Payments'!$D$5:$D$429,"&lt;="&amp;'Start Here'!$B$5)</x:f>
        <x:v>0</x:v>
      </x:c>
      <x:c r="G229" s="11" t="n">
        <x:f>ROUND(E229-F229,2)</x:f>
        <x:v>6720.2</x:v>
      </x:c>
      <x:c r="H229" s="2" t="n">
        <x:f>IF(G229&gt;0,MAX(0,'Start Here'!$B$5-D229),0)</x:f>
        <x:v>0</x:v>
      </x:c>
      <x:c r="I229" s="2" t="str">
        <x:f>IF(G229=0,"Paid",IF(H229=0,"Current",IF(H229&lt;=30,"1-30",IF(H229&lt;=60,"31-60",IF(H229&lt;=90,"61-90","91+")))))</x:f>
        <x:v>Current</x:v>
      </x:c>
      <x:c r="J229" s="2" t="n">
        <x:f>IF(G229=0,0,IF(H229=0,1,IF(H229&lt;=30,2,IF(H229&lt;=60,3,IF(H229&lt;=90,4,5)))))</x:f>
        <x:v>1</x:v>
      </x:c>
      <x:c r="K229" s="2" t="str">
        <x:f>'Invoices'!F229</x:f>
        <x:v>No</x:v>
      </x:c>
      <x:c r="L229" s="10" t="n">
        <x:f>'Start Here'!$B$5</x:f>
        <x:v>46295</x:v>
      </x:c>
    </x:row>
    <x:row r="230" ht="23" customHeight="1">
      <x:c r="A230" s="2" t="str">
        <x:f>'Invoices'!A230</x:f>
        <x:v>INV00226</x:v>
      </x:c>
      <x:c r="B230" s="2" t="str">
        <x:f>'Invoices'!B230</x:f>
        <x:v>C013</x:v>
      </x:c>
      <x:c r="C230" s="10" t="n">
        <x:f>'Invoices'!C230</x:f>
        <x:v>46235</x:v>
      </x:c>
      <x:c r="D230" s="10" t="n">
        <x:f>'Invoices'!D230</x:f>
        <x:v>46250</x:v>
      </x:c>
      <x:c r="E230" s="11" t="n">
        <x:f>'Invoices'!E230</x:f>
        <x:v>3162.75</x:v>
      </x:c>
      <x:c r="F230" s="11" t="n">
        <x:f>SUMIFS('Payments'!$E$5:$E$429,'Payments'!$B$5:$B$429,A230,'Payments'!$D$5:$D$429,"&lt;="&amp;'Start Here'!$B$5)</x:f>
        <x:v>3162.75</x:v>
      </x:c>
      <x:c r="G230" s="11" t="n">
        <x:f>ROUND(E230-F230,2)</x:f>
        <x:v>0</x:v>
      </x:c>
      <x:c r="H230" s="2" t="n">
        <x:f>IF(G230&gt;0,MAX(0,'Start Here'!$B$5-D230),0)</x:f>
        <x:v>0</x:v>
      </x:c>
      <x:c r="I230" s="2" t="str">
        <x:f>IF(G230=0,"Paid",IF(H230=0,"Current",IF(H230&lt;=30,"1-30",IF(H230&lt;=60,"31-60",IF(H230&lt;=90,"61-90","91+")))))</x:f>
        <x:v>Paid</x:v>
      </x:c>
      <x:c r="J230" s="2" t="n">
        <x:f>IF(G230=0,0,IF(H230=0,1,IF(H230&lt;=30,2,IF(H230&lt;=60,3,IF(H230&lt;=90,4,5)))))</x:f>
        <x:v>0</x:v>
      </x:c>
      <x:c r="K230" s="2" t="str">
        <x:f>'Invoices'!F230</x:f>
        <x:v>No</x:v>
      </x:c>
      <x:c r="L230" s="10" t="n">
        <x:f>'Start Here'!$B$5</x:f>
        <x:v>46295</x:v>
      </x:c>
    </x:row>
    <x:row r="231" ht="23" customHeight="1">
      <x:c r="A231" s="2" t="str">
        <x:f>'Invoices'!A231</x:f>
        <x:v>INV00227</x:v>
      </x:c>
      <x:c r="B231" s="2" t="str">
        <x:f>'Invoices'!B231</x:f>
        <x:v>C025</x:v>
      </x:c>
      <x:c r="C231" s="10" t="n">
        <x:f>'Invoices'!C231</x:f>
        <x:v>46250</x:v>
      </x:c>
      <x:c r="D231" s="10" t="n">
        <x:f>'Invoices'!D231</x:f>
        <x:v>46280</x:v>
      </x:c>
      <x:c r="E231" s="11" t="n">
        <x:f>'Invoices'!E231</x:f>
        <x:v>15599.39</x:v>
      </x:c>
      <x:c r="F231" s="11" t="n">
        <x:f>SUMIFS('Payments'!$E$5:$E$429,'Payments'!$B$5:$B$429,A231,'Payments'!$D$5:$D$429,"&lt;="&amp;'Start Here'!$B$5)</x:f>
        <x:v>15599.39</x:v>
      </x:c>
      <x:c r="G231" s="11" t="n">
        <x:f>ROUND(E231-F231,2)</x:f>
        <x:v>0</x:v>
      </x:c>
      <x:c r="H231" s="2" t="n">
        <x:f>IF(G231&gt;0,MAX(0,'Start Here'!$B$5-D231),0)</x:f>
        <x:v>0</x:v>
      </x:c>
      <x:c r="I231" s="2" t="str">
        <x:f>IF(G231=0,"Paid",IF(H231=0,"Current",IF(H231&lt;=30,"1-30",IF(H231&lt;=60,"31-60",IF(H231&lt;=90,"61-90","91+")))))</x:f>
        <x:v>Paid</x:v>
      </x:c>
      <x:c r="J231" s="2" t="n">
        <x:f>IF(G231=0,0,IF(H231=0,1,IF(H231&lt;=30,2,IF(H231&lt;=60,3,IF(H231&lt;=90,4,5)))))</x:f>
        <x:v>0</x:v>
      </x:c>
      <x:c r="K231" s="2" t="str">
        <x:f>'Invoices'!F231</x:f>
        <x:v>No</x:v>
      </x:c>
      <x:c r="L231" s="10" t="n">
        <x:f>'Start Here'!$B$5</x:f>
        <x:v>46295</x:v>
      </x:c>
    </x:row>
    <x:row r="232" ht="23" customHeight="1">
      <x:c r="A232" s="2" t="str">
        <x:f>'Invoices'!A232</x:f>
        <x:v>INV00228</x:v>
      </x:c>
      <x:c r="B232" s="2" t="str">
        <x:f>'Invoices'!B232</x:f>
        <x:v>C001</x:v>
      </x:c>
      <x:c r="C232" s="10" t="n">
        <x:f>'Invoices'!C232</x:f>
        <x:v>46271</x:v>
      </x:c>
      <x:c r="D232" s="10" t="n">
        <x:f>'Invoices'!D232</x:f>
        <x:v>46301</x:v>
      </x:c>
      <x:c r="E232" s="11" t="n">
        <x:f>'Invoices'!E232</x:f>
        <x:v>11132.18</x:v>
      </x:c>
      <x:c r="F232" s="11" t="n">
        <x:f>SUMIFS('Payments'!$E$5:$E$429,'Payments'!$B$5:$B$429,A232,'Payments'!$D$5:$D$429,"&lt;="&amp;'Start Here'!$B$5)</x:f>
        <x:v>0</x:v>
      </x:c>
      <x:c r="G232" s="11" t="n">
        <x:f>ROUND(E232-F232,2)</x:f>
        <x:v>11132.18</x:v>
      </x:c>
      <x:c r="H232" s="2" t="n">
        <x:f>IF(G232&gt;0,MAX(0,'Start Here'!$B$5-D232),0)</x:f>
        <x:v>0</x:v>
      </x:c>
      <x:c r="I232" s="2" t="str">
        <x:f>IF(G232=0,"Paid",IF(H232=0,"Current",IF(H232&lt;=30,"1-30",IF(H232&lt;=60,"31-60",IF(H232&lt;=90,"61-90","91+")))))</x:f>
        <x:v>Current</x:v>
      </x:c>
      <x:c r="J232" s="2" t="n">
        <x:f>IF(G232=0,0,IF(H232=0,1,IF(H232&lt;=30,2,IF(H232&lt;=60,3,IF(H232&lt;=90,4,5)))))</x:f>
        <x:v>1</x:v>
      </x:c>
      <x:c r="K232" s="2" t="str">
        <x:f>'Invoices'!F232</x:f>
        <x:v>No</x:v>
      </x:c>
      <x:c r="L232" s="10" t="n">
        <x:f>'Start Here'!$B$5</x:f>
        <x:v>46295</x:v>
      </x:c>
    </x:row>
    <x:row r="233" ht="23" customHeight="1">
      <x:c r="A233" s="2" t="str">
        <x:f>'Invoices'!A233</x:f>
        <x:v>INV00229</x:v>
      </x:c>
      <x:c r="B233" s="2" t="str">
        <x:f>'Invoices'!B233</x:f>
        <x:v>C040</x:v>
      </x:c>
      <x:c r="C233" s="10" t="n">
        <x:f>'Invoices'!C233</x:f>
        <x:v>46194</x:v>
      </x:c>
      <x:c r="D233" s="10" t="n">
        <x:f>'Invoices'!D233</x:f>
        <x:v>46209</x:v>
      </x:c>
      <x:c r="E233" s="11" t="n">
        <x:f>'Invoices'!E233</x:f>
        <x:v>3712.15</x:v>
      </x:c>
      <x:c r="F233" s="11" t="n">
        <x:f>SUMIFS('Payments'!$E$5:$E$429,'Payments'!$B$5:$B$429,A233,'Payments'!$D$5:$D$429,"&lt;="&amp;'Start Here'!$B$5)</x:f>
        <x:v>3712.15</x:v>
      </x:c>
      <x:c r="G233" s="11" t="n">
        <x:f>ROUND(E233-F233,2)</x:f>
        <x:v>0</x:v>
      </x:c>
      <x:c r="H233" s="2" t="n">
        <x:f>IF(G233&gt;0,MAX(0,'Start Here'!$B$5-D233),0)</x:f>
        <x:v>0</x:v>
      </x:c>
      <x:c r="I233" s="2" t="str">
        <x:f>IF(G233=0,"Paid",IF(H233=0,"Current",IF(H233&lt;=30,"1-30",IF(H233&lt;=60,"31-60",IF(H233&lt;=90,"61-90","91+")))))</x:f>
        <x:v>Paid</x:v>
      </x:c>
      <x:c r="J233" s="2" t="n">
        <x:f>IF(G233=0,0,IF(H233=0,1,IF(H233&lt;=30,2,IF(H233&lt;=60,3,IF(H233&lt;=90,4,5)))))</x:f>
        <x:v>0</x:v>
      </x:c>
      <x:c r="K233" s="2" t="str">
        <x:f>'Invoices'!F233</x:f>
        <x:v>No</x:v>
      </x:c>
      <x:c r="L233" s="10" t="n">
        <x:f>'Start Here'!$B$5</x:f>
        <x:v>46295</x:v>
      </x:c>
    </x:row>
    <x:row r="234" ht="23" customHeight="1">
      <x:c r="A234" s="2" t="str">
        <x:f>'Invoices'!A234</x:f>
        <x:v>INV00230</x:v>
      </x:c>
      <x:c r="B234" s="2" t="str">
        <x:f>'Invoices'!B234</x:f>
        <x:v>C036</x:v>
      </x:c>
      <x:c r="C234" s="10" t="n">
        <x:f>'Invoices'!C234</x:f>
        <x:v>46154</x:v>
      </x:c>
      <x:c r="D234" s="10" t="n">
        <x:f>'Invoices'!D234</x:f>
        <x:v>46184</x:v>
      </x:c>
      <x:c r="E234" s="11" t="n">
        <x:f>'Invoices'!E234</x:f>
        <x:v>14560.94</x:v>
      </x:c>
      <x:c r="F234" s="11" t="n">
        <x:f>SUMIFS('Payments'!$E$5:$E$429,'Payments'!$B$5:$B$429,A234,'Payments'!$D$5:$D$429,"&lt;="&amp;'Start Here'!$B$5)</x:f>
        <x:v>14560.94</x:v>
      </x:c>
      <x:c r="G234" s="11" t="n">
        <x:f>ROUND(E234-F234,2)</x:f>
        <x:v>0</x:v>
      </x:c>
      <x:c r="H234" s="2" t="n">
        <x:f>IF(G234&gt;0,MAX(0,'Start Here'!$B$5-D234),0)</x:f>
        <x:v>0</x:v>
      </x:c>
      <x:c r="I234" s="2" t="str">
        <x:f>IF(G234=0,"Paid",IF(H234=0,"Current",IF(H234&lt;=30,"1-30",IF(H234&lt;=60,"31-60",IF(H234&lt;=90,"61-90","91+")))))</x:f>
        <x:v>Paid</x:v>
      </x:c>
      <x:c r="J234" s="2" t="n">
        <x:f>IF(G234=0,0,IF(H234=0,1,IF(H234&lt;=30,2,IF(H234&lt;=60,3,IF(H234&lt;=90,4,5)))))</x:f>
        <x:v>0</x:v>
      </x:c>
      <x:c r="K234" s="2" t="str">
        <x:f>'Invoices'!F234</x:f>
        <x:v>No</x:v>
      </x:c>
      <x:c r="L234" s="10" t="n">
        <x:f>'Start Here'!$B$5</x:f>
        <x:v>46295</x:v>
      </x:c>
    </x:row>
    <x:row r="235" ht="23" customHeight="1">
      <x:c r="A235" s="2" t="str">
        <x:f>'Invoices'!A235</x:f>
        <x:v>INV00231</x:v>
      </x:c>
      <x:c r="B235" s="2" t="str">
        <x:f>'Invoices'!B235</x:f>
        <x:v>C036</x:v>
      </x:c>
      <x:c r="C235" s="10" t="n">
        <x:f>'Invoices'!C235</x:f>
        <x:v>46124</x:v>
      </x:c>
      <x:c r="D235" s="10" t="n">
        <x:f>'Invoices'!D235</x:f>
        <x:v>46154</x:v>
      </x:c>
      <x:c r="E235" s="11" t="n">
        <x:f>'Invoices'!E235</x:f>
        <x:v>8290.15</x:v>
      </x:c>
      <x:c r="F235" s="11" t="n">
        <x:f>SUMIFS('Payments'!$E$5:$E$429,'Payments'!$B$5:$B$429,A235,'Payments'!$D$5:$D$429,"&lt;="&amp;'Start Here'!$B$5)</x:f>
        <x:v>8290.15</x:v>
      </x:c>
      <x:c r="G235" s="11" t="n">
        <x:f>ROUND(E235-F235,2)</x:f>
        <x:v>0</x:v>
      </x:c>
      <x:c r="H235" s="2" t="n">
        <x:f>IF(G235&gt;0,MAX(0,'Start Here'!$B$5-D235),0)</x:f>
        <x:v>0</x:v>
      </x:c>
      <x:c r="I235" s="2" t="str">
        <x:f>IF(G235=0,"Paid",IF(H235=0,"Current",IF(H235&lt;=30,"1-30",IF(H235&lt;=60,"31-60",IF(H235&lt;=90,"61-90","91+")))))</x:f>
        <x:v>Paid</x:v>
      </x:c>
      <x:c r="J235" s="2" t="n">
        <x:f>IF(G235=0,0,IF(H235=0,1,IF(H235&lt;=30,2,IF(H235&lt;=60,3,IF(H235&lt;=90,4,5)))))</x:f>
        <x:v>0</x:v>
      </x:c>
      <x:c r="K235" s="2" t="str">
        <x:f>'Invoices'!F235</x:f>
        <x:v>No</x:v>
      </x:c>
      <x:c r="L235" s="10" t="n">
        <x:f>'Start Here'!$B$5</x:f>
        <x:v>46295</x:v>
      </x:c>
    </x:row>
    <x:row r="236" ht="23" customHeight="1">
      <x:c r="A236" s="2" t="str">
        <x:f>'Invoices'!A236</x:f>
        <x:v>INV00232</x:v>
      </x:c>
      <x:c r="B236" s="2" t="str">
        <x:f>'Invoices'!B236</x:f>
        <x:v>C005</x:v>
      </x:c>
      <x:c r="C236" s="10" t="n">
        <x:f>'Invoices'!C236</x:f>
        <x:v>46128</x:v>
      </x:c>
      <x:c r="D236" s="10" t="n">
        <x:f>'Invoices'!D236</x:f>
        <x:v>46188</x:v>
      </x:c>
      <x:c r="E236" s="11" t="n">
        <x:f>'Invoices'!E236</x:f>
        <x:v>5138.12</x:v>
      </x:c>
      <x:c r="F236" s="11" t="n">
        <x:f>SUMIFS('Payments'!$E$5:$E$429,'Payments'!$B$5:$B$429,A236,'Payments'!$D$5:$D$429,"&lt;="&amp;'Start Here'!$B$5)</x:f>
        <x:v>5138.12</x:v>
      </x:c>
      <x:c r="G236" s="11" t="n">
        <x:f>ROUND(E236-F236,2)</x:f>
        <x:v>0</x:v>
      </x:c>
      <x:c r="H236" s="2" t="n">
        <x:f>IF(G236&gt;0,MAX(0,'Start Here'!$B$5-D236),0)</x:f>
        <x:v>0</x:v>
      </x:c>
      <x:c r="I236" s="2" t="str">
        <x:f>IF(G236=0,"Paid",IF(H236=0,"Current",IF(H236&lt;=30,"1-30",IF(H236&lt;=60,"31-60",IF(H236&lt;=90,"61-90","91+")))))</x:f>
        <x:v>Paid</x:v>
      </x:c>
      <x:c r="J236" s="2" t="n">
        <x:f>IF(G236=0,0,IF(H236=0,1,IF(H236&lt;=30,2,IF(H236&lt;=60,3,IF(H236&lt;=90,4,5)))))</x:f>
        <x:v>0</x:v>
      </x:c>
      <x:c r="K236" s="2" t="str">
        <x:f>'Invoices'!F236</x:f>
        <x:v>No</x:v>
      </x:c>
      <x:c r="L236" s="10" t="n">
        <x:f>'Start Here'!$B$5</x:f>
        <x:v>46295</x:v>
      </x:c>
    </x:row>
    <x:row r="237" ht="23" customHeight="1">
      <x:c r="A237" s="2" t="str">
        <x:f>'Invoices'!A237</x:f>
        <x:v>INV00233</x:v>
      </x:c>
      <x:c r="B237" s="2" t="str">
        <x:f>'Invoices'!B237</x:f>
        <x:v>C039</x:v>
      </x:c>
      <x:c r="C237" s="10" t="n">
        <x:f>'Invoices'!C237</x:f>
        <x:v>46226</x:v>
      </x:c>
      <x:c r="D237" s="10" t="n">
        <x:f>'Invoices'!D237</x:f>
        <x:v>46256</x:v>
      </x:c>
      <x:c r="E237" s="11" t="n">
        <x:f>'Invoices'!E237</x:f>
        <x:v>5587.07</x:v>
      </x:c>
      <x:c r="F237" s="11" t="n">
        <x:f>SUMIFS('Payments'!$E$5:$E$429,'Payments'!$B$5:$B$429,A237,'Payments'!$D$5:$D$429,"&lt;="&amp;'Start Here'!$B$5)</x:f>
        <x:v>5587.07</x:v>
      </x:c>
      <x:c r="G237" s="11" t="n">
        <x:f>ROUND(E237-F237,2)</x:f>
        <x:v>0</x:v>
      </x:c>
      <x:c r="H237" s="2" t="n">
        <x:f>IF(G237&gt;0,MAX(0,'Start Here'!$B$5-D237),0)</x:f>
        <x:v>0</x:v>
      </x:c>
      <x:c r="I237" s="2" t="str">
        <x:f>IF(G237=0,"Paid",IF(H237=0,"Current",IF(H237&lt;=30,"1-30",IF(H237&lt;=60,"31-60",IF(H237&lt;=90,"61-90","91+")))))</x:f>
        <x:v>Paid</x:v>
      </x:c>
      <x:c r="J237" s="2" t="n">
        <x:f>IF(G237=0,0,IF(H237=0,1,IF(H237&lt;=30,2,IF(H237&lt;=60,3,IF(H237&lt;=90,4,5)))))</x:f>
        <x:v>0</x:v>
      </x:c>
      <x:c r="K237" s="2" t="str">
        <x:f>'Invoices'!F237</x:f>
        <x:v>No</x:v>
      </x:c>
      <x:c r="L237" s="10" t="n">
        <x:f>'Start Here'!$B$5</x:f>
        <x:v>46295</x:v>
      </x:c>
    </x:row>
    <x:row r="238" ht="23" customHeight="1">
      <x:c r="A238" s="2" t="str">
        <x:f>'Invoices'!A238</x:f>
        <x:v>INV00234</x:v>
      </x:c>
      <x:c r="B238" s="2" t="str">
        <x:f>'Invoices'!B238</x:f>
        <x:v>C023</x:v>
      </x:c>
      <x:c r="C238" s="10" t="n">
        <x:f>'Invoices'!C238</x:f>
        <x:v>46029</x:v>
      </x:c>
      <x:c r="D238" s="10" t="n">
        <x:f>'Invoices'!D238</x:f>
        <x:v>46074</x:v>
      </x:c>
      <x:c r="E238" s="11" t="n">
        <x:f>'Invoices'!E238</x:f>
        <x:v>6233.72</x:v>
      </x:c>
      <x:c r="F238" s="11" t="n">
        <x:f>SUMIFS('Payments'!$E$5:$E$429,'Payments'!$B$5:$B$429,A238,'Payments'!$D$5:$D$429,"&lt;="&amp;'Start Here'!$B$5)</x:f>
        <x:v>6233.72</x:v>
      </x:c>
      <x:c r="G238" s="11" t="n">
        <x:f>ROUND(E238-F238,2)</x:f>
        <x:v>0</x:v>
      </x:c>
      <x:c r="H238" s="2" t="n">
        <x:f>IF(G238&gt;0,MAX(0,'Start Here'!$B$5-D238),0)</x:f>
        <x:v>0</x:v>
      </x:c>
      <x:c r="I238" s="2" t="str">
        <x:f>IF(G238=0,"Paid",IF(H238=0,"Current",IF(H238&lt;=30,"1-30",IF(H238&lt;=60,"31-60",IF(H238&lt;=90,"61-90","91+")))))</x:f>
        <x:v>Paid</x:v>
      </x:c>
      <x:c r="J238" s="2" t="n">
        <x:f>IF(G238=0,0,IF(H238=0,1,IF(H238&lt;=30,2,IF(H238&lt;=60,3,IF(H238&lt;=90,4,5)))))</x:f>
        <x:v>0</x:v>
      </x:c>
      <x:c r="K238" s="2" t="str">
        <x:f>'Invoices'!F238</x:f>
        <x:v>No</x:v>
      </x:c>
      <x:c r="L238" s="10" t="n">
        <x:f>'Start Here'!$B$5</x:f>
        <x:v>46295</x:v>
      </x:c>
    </x:row>
    <x:row r="239" ht="23" customHeight="1">
      <x:c r="A239" s="2" t="str">
        <x:f>'Invoices'!A239</x:f>
        <x:v>INV00235</x:v>
      </x:c>
      <x:c r="B239" s="2" t="str">
        <x:f>'Invoices'!B239</x:f>
        <x:v>C009</x:v>
      </x:c>
      <x:c r="C239" s="10" t="n">
        <x:f>'Invoices'!C239</x:f>
        <x:v>46161</x:v>
      </x:c>
      <x:c r="D239" s="10" t="n">
        <x:f>'Invoices'!D239</x:f>
        <x:v>46191</x:v>
      </x:c>
      <x:c r="E239" s="11" t="n">
        <x:f>'Invoices'!E239</x:f>
        <x:v>2874.62</x:v>
      </x:c>
      <x:c r="F239" s="11" t="n">
        <x:f>SUMIFS('Payments'!$E$5:$E$429,'Payments'!$B$5:$B$429,A239,'Payments'!$D$5:$D$429,"&lt;="&amp;'Start Here'!$B$5)</x:f>
        <x:v>2874.62</x:v>
      </x:c>
      <x:c r="G239" s="11" t="n">
        <x:f>ROUND(E239-F239,2)</x:f>
        <x:v>0</x:v>
      </x:c>
      <x:c r="H239" s="2" t="n">
        <x:f>IF(G239&gt;0,MAX(0,'Start Here'!$B$5-D239),0)</x:f>
        <x:v>0</x:v>
      </x:c>
      <x:c r="I239" s="2" t="str">
        <x:f>IF(G239=0,"Paid",IF(H239=0,"Current",IF(H239&lt;=30,"1-30",IF(H239&lt;=60,"31-60",IF(H239&lt;=90,"61-90","91+")))))</x:f>
        <x:v>Paid</x:v>
      </x:c>
      <x:c r="J239" s="2" t="n">
        <x:f>IF(G239=0,0,IF(H239=0,1,IF(H239&lt;=30,2,IF(H239&lt;=60,3,IF(H239&lt;=90,4,5)))))</x:f>
        <x:v>0</x:v>
      </x:c>
      <x:c r="K239" s="2" t="str">
        <x:f>'Invoices'!F239</x:f>
        <x:v>No</x:v>
      </x:c>
      <x:c r="L239" s="10" t="n">
        <x:f>'Start Here'!$B$5</x:f>
        <x:v>46295</x:v>
      </x:c>
    </x:row>
    <x:row r="240" ht="23" customHeight="1">
      <x:c r="A240" s="2" t="str">
        <x:f>'Invoices'!A240</x:f>
        <x:v>INV00236</x:v>
      </x:c>
      <x:c r="B240" s="2" t="str">
        <x:f>'Invoices'!B240</x:f>
        <x:v>C028</x:v>
      </x:c>
      <x:c r="C240" s="10" t="n">
        <x:f>'Invoices'!C240</x:f>
        <x:v>46225</x:v>
      </x:c>
      <x:c r="D240" s="10" t="n">
        <x:f>'Invoices'!D240</x:f>
        <x:v>46285</x:v>
      </x:c>
      <x:c r="E240" s="11" t="n">
        <x:f>'Invoices'!E240</x:f>
        <x:v>17258.27</x:v>
      </x:c>
      <x:c r="F240" s="11" t="n">
        <x:f>SUMIFS('Payments'!$E$5:$E$429,'Payments'!$B$5:$B$429,A240,'Payments'!$D$5:$D$429,"&lt;="&amp;'Start Here'!$B$5)</x:f>
        <x:v>0</x:v>
      </x:c>
      <x:c r="G240" s="11" t="n">
        <x:f>ROUND(E240-F240,2)</x:f>
        <x:v>17258.27</x:v>
      </x:c>
      <x:c r="H240" s="2" t="n">
        <x:f>IF(G240&gt;0,MAX(0,'Start Here'!$B$5-D240),0)</x:f>
        <x:v>10</x:v>
      </x:c>
      <x:c r="I240" s="2" t="str">
        <x:f>IF(G240=0,"Paid",IF(H240=0,"Current",IF(H240&lt;=30,"1-30",IF(H240&lt;=60,"31-60",IF(H240&lt;=90,"61-90","91+")))))</x:f>
        <x:v>1-30</x:v>
      </x:c>
      <x:c r="J240" s="2" t="n">
        <x:f>IF(G240=0,0,IF(H240=0,1,IF(H240&lt;=30,2,IF(H240&lt;=60,3,IF(H240&lt;=90,4,5)))))</x:f>
        <x:v>2</x:v>
      </x:c>
      <x:c r="K240" s="2" t="str">
        <x:f>'Invoices'!F240</x:f>
        <x:v>No</x:v>
      </x:c>
      <x:c r="L240" s="10" t="n">
        <x:f>'Start Here'!$B$5</x:f>
        <x:v>46295</x:v>
      </x:c>
    </x:row>
    <x:row r="241" ht="23" customHeight="1">
      <x:c r="A241" s="2" t="str">
        <x:f>'Invoices'!A241</x:f>
        <x:v>INV00237</x:v>
      </x:c>
      <x:c r="B241" s="2" t="str">
        <x:f>'Invoices'!B241</x:f>
        <x:v>C027</x:v>
      </x:c>
      <x:c r="C241" s="10" t="n">
        <x:f>'Invoices'!C241</x:f>
        <x:v>46258</x:v>
      </x:c>
      <x:c r="D241" s="10" t="n">
        <x:f>'Invoices'!D241</x:f>
        <x:v>46288</x:v>
      </x:c>
      <x:c r="E241" s="11" t="n">
        <x:f>'Invoices'!E241</x:f>
        <x:v>15780.67</x:v>
      </x:c>
      <x:c r="F241" s="11" t="n">
        <x:f>SUMIFS('Payments'!$E$5:$E$429,'Payments'!$B$5:$B$429,A241,'Payments'!$D$5:$D$429,"&lt;="&amp;'Start Here'!$B$5)</x:f>
        <x:v>4734.2</x:v>
      </x:c>
      <x:c r="G241" s="11" t="n">
        <x:f>ROUND(E241-F241,2)</x:f>
        <x:v>11046.47</x:v>
      </x:c>
      <x:c r="H241" s="2" t="n">
        <x:f>IF(G241&gt;0,MAX(0,'Start Here'!$B$5-D241),0)</x:f>
        <x:v>7</x:v>
      </x:c>
      <x:c r="I241" s="2" t="str">
        <x:f>IF(G241=0,"Paid",IF(H241=0,"Current",IF(H241&lt;=30,"1-30",IF(H241&lt;=60,"31-60",IF(H241&lt;=90,"61-90","91+")))))</x:f>
        <x:v>1-30</x:v>
      </x:c>
      <x:c r="J241" s="2" t="n">
        <x:f>IF(G241=0,0,IF(H241=0,1,IF(H241&lt;=30,2,IF(H241&lt;=60,3,IF(H241&lt;=90,4,5)))))</x:f>
        <x:v>2</x:v>
      </x:c>
      <x:c r="K241" s="2" t="str">
        <x:f>'Invoices'!F241</x:f>
        <x:v>No</x:v>
      </x:c>
      <x:c r="L241" s="10" t="n">
        <x:f>'Start Here'!$B$5</x:f>
        <x:v>46295</x:v>
      </x:c>
    </x:row>
    <x:row r="242" ht="23" customHeight="1">
      <x:c r="A242" s="2" t="str">
        <x:f>'Invoices'!A242</x:f>
        <x:v>INV00238</x:v>
      </x:c>
      <x:c r="B242" s="2" t="str">
        <x:f>'Invoices'!B242</x:f>
        <x:v>C004</x:v>
      </x:c>
      <x:c r="C242" s="10" t="n">
        <x:f>'Invoices'!C242</x:f>
        <x:v>46187</x:v>
      </x:c>
      <x:c r="D242" s="10" t="n">
        <x:f>'Invoices'!D242</x:f>
        <x:v>46202</x:v>
      </x:c>
      <x:c r="E242" s="11" t="n">
        <x:f>'Invoices'!E242</x:f>
        <x:v>15916.72</x:v>
      </x:c>
      <x:c r="F242" s="11" t="n">
        <x:f>SUMIFS('Payments'!$E$5:$E$429,'Payments'!$B$5:$B$429,A242,'Payments'!$D$5:$D$429,"&lt;="&amp;'Start Here'!$B$5)</x:f>
        <x:v>0</x:v>
      </x:c>
      <x:c r="G242" s="11" t="n">
        <x:f>ROUND(E242-F242,2)</x:f>
        <x:v>15916.72</x:v>
      </x:c>
      <x:c r="H242" s="2" t="n">
        <x:f>IF(G242&gt;0,MAX(0,'Start Here'!$B$5-D242),0)</x:f>
        <x:v>93</x:v>
      </x:c>
      <x:c r="I242" s="2" t="str">
        <x:f>IF(G242=0,"Paid",IF(H242=0,"Current",IF(H242&lt;=30,"1-30",IF(H242&lt;=60,"31-60",IF(H242&lt;=90,"61-90","91+")))))</x:f>
        <x:v>91+</x:v>
      </x:c>
      <x:c r="J242" s="2" t="n">
        <x:f>IF(G242=0,0,IF(H242=0,1,IF(H242&lt;=30,2,IF(H242&lt;=60,3,IF(H242&lt;=90,4,5)))))</x:f>
        <x:v>5</x:v>
      </x:c>
      <x:c r="K242" s="2" t="str">
        <x:f>'Invoices'!F242</x:f>
        <x:v>No</x:v>
      </x:c>
      <x:c r="L242" s="10" t="n">
        <x:f>'Start Here'!$B$5</x:f>
        <x:v>46295</x:v>
      </x:c>
    </x:row>
    <x:row r="243" ht="23" customHeight="1">
      <x:c r="A243" s="2" t="str">
        <x:f>'Invoices'!A243</x:f>
        <x:v>INV00239</x:v>
      </x:c>
      <x:c r="B243" s="2" t="str">
        <x:f>'Invoices'!B243</x:f>
        <x:v>C003</x:v>
      </x:c>
      <x:c r="C243" s="10" t="n">
        <x:f>'Invoices'!C243</x:f>
        <x:v>46163</x:v>
      </x:c>
      <x:c r="D243" s="10" t="n">
        <x:f>'Invoices'!D243</x:f>
        <x:v>46223</x:v>
      </x:c>
      <x:c r="E243" s="11" t="n">
        <x:f>'Invoices'!E243</x:f>
        <x:v>1387.24</x:v>
      </x:c>
      <x:c r="F243" s="11" t="n">
        <x:f>SUMIFS('Payments'!$E$5:$E$429,'Payments'!$B$5:$B$429,A243,'Payments'!$D$5:$D$429,"&lt;="&amp;'Start Here'!$B$5)</x:f>
        <x:v>485.53</x:v>
      </x:c>
      <x:c r="G243" s="11" t="n">
        <x:f>ROUND(E243-F243,2)</x:f>
        <x:v>901.71</x:v>
      </x:c>
      <x:c r="H243" s="2" t="n">
        <x:f>IF(G243&gt;0,MAX(0,'Start Here'!$B$5-D243),0)</x:f>
        <x:v>72</x:v>
      </x:c>
      <x:c r="I243" s="2" t="str">
        <x:f>IF(G243=0,"Paid",IF(H243=0,"Current",IF(H243&lt;=30,"1-30",IF(H243&lt;=60,"31-60",IF(H243&lt;=90,"61-90","91+")))))</x:f>
        <x:v>61-90</x:v>
      </x:c>
      <x:c r="J243" s="2" t="n">
        <x:f>IF(G243=0,0,IF(H243=0,1,IF(H243&lt;=30,2,IF(H243&lt;=60,3,IF(H243&lt;=90,4,5)))))</x:f>
        <x:v>4</x:v>
      </x:c>
      <x:c r="K243" s="2" t="str">
        <x:f>'Invoices'!F243</x:f>
        <x:v>Yes</x:v>
      </x:c>
      <x:c r="L243" s="10" t="n">
        <x:f>'Start Here'!$B$5</x:f>
        <x:v>46295</x:v>
      </x:c>
    </x:row>
    <x:row r="244" ht="23" customHeight="1">
      <x:c r="A244" s="2" t="str">
        <x:f>'Invoices'!A244</x:f>
        <x:v>INV00240</x:v>
      </x:c>
      <x:c r="B244" s="2" t="str">
        <x:f>'Invoices'!B244</x:f>
        <x:v>C028</x:v>
      </x:c>
      <x:c r="C244" s="10" t="n">
        <x:f>'Invoices'!C244</x:f>
        <x:v>46195</x:v>
      </x:c>
      <x:c r="D244" s="10" t="n">
        <x:f>'Invoices'!D244</x:f>
        <x:v>46240</x:v>
      </x:c>
      <x:c r="E244" s="11" t="n">
        <x:f>'Invoices'!E244</x:f>
        <x:v>17461.78</x:v>
      </x:c>
      <x:c r="F244" s="11" t="n">
        <x:f>SUMIFS('Payments'!$E$5:$E$429,'Payments'!$B$5:$B$429,A244,'Payments'!$D$5:$D$429,"&lt;="&amp;'Start Here'!$B$5)</x:f>
        <x:v>17461.78</x:v>
      </x:c>
      <x:c r="G244" s="11" t="n">
        <x:f>ROUND(E244-F244,2)</x:f>
        <x:v>0</x:v>
      </x:c>
      <x:c r="H244" s="2" t="n">
        <x:f>IF(G244&gt;0,MAX(0,'Start Here'!$B$5-D244),0)</x:f>
        <x:v>0</x:v>
      </x:c>
      <x:c r="I244" s="2" t="str">
        <x:f>IF(G244=0,"Paid",IF(H244=0,"Current",IF(H244&lt;=30,"1-30",IF(H244&lt;=60,"31-60",IF(H244&lt;=90,"61-90","91+")))))</x:f>
        <x:v>Paid</x:v>
      </x:c>
      <x:c r="J244" s="2" t="n">
        <x:f>IF(G244=0,0,IF(H244=0,1,IF(H244&lt;=30,2,IF(H244&lt;=60,3,IF(H244&lt;=90,4,5)))))</x:f>
        <x:v>0</x:v>
      </x:c>
      <x:c r="K244" s="2" t="str">
        <x:f>'Invoices'!F244</x:f>
        <x:v>No</x:v>
      </x:c>
      <x:c r="L244" s="10" t="n">
        <x:f>'Start Here'!$B$5</x:f>
        <x:v>46295</x:v>
      </x:c>
    </x:row>
    <x:row r="245" ht="23" customHeight="1">
      <x:c r="A245" s="2" t="str">
        <x:f>'Invoices'!A245</x:f>
        <x:v>INV00241</x:v>
      </x:c>
      <x:c r="B245" s="2" t="str">
        <x:f>'Invoices'!B245</x:f>
        <x:v>C028</x:v>
      </x:c>
      <x:c r="C245" s="10" t="n">
        <x:f>'Invoices'!C245</x:f>
        <x:v>46071</x:v>
      </x:c>
      <x:c r="D245" s="10" t="n">
        <x:f>'Invoices'!D245</x:f>
        <x:v>46086</x:v>
      </x:c>
      <x:c r="E245" s="11" t="n">
        <x:f>'Invoices'!E245</x:f>
        <x:v>5388.41</x:v>
      </x:c>
      <x:c r="F245" s="11" t="n">
        <x:f>SUMIFS('Payments'!$E$5:$E$429,'Payments'!$B$5:$B$429,A245,'Payments'!$D$5:$D$429,"&lt;="&amp;'Start Here'!$B$5)</x:f>
        <x:v>5388.41</x:v>
      </x:c>
      <x:c r="G245" s="11" t="n">
        <x:f>ROUND(E245-F245,2)</x:f>
        <x:v>0</x:v>
      </x:c>
      <x:c r="H245" s="2" t="n">
        <x:f>IF(G245&gt;0,MAX(0,'Start Here'!$B$5-D245),0)</x:f>
        <x:v>0</x:v>
      </x:c>
      <x:c r="I245" s="2" t="str">
        <x:f>IF(G245=0,"Paid",IF(H245=0,"Current",IF(H245&lt;=30,"1-30",IF(H245&lt;=60,"31-60",IF(H245&lt;=90,"61-90","91+")))))</x:f>
        <x:v>Paid</x:v>
      </x:c>
      <x:c r="J245" s="2" t="n">
        <x:f>IF(G245=0,0,IF(H245=0,1,IF(H245&lt;=30,2,IF(H245&lt;=60,3,IF(H245&lt;=90,4,5)))))</x:f>
        <x:v>0</x:v>
      </x:c>
      <x:c r="K245" s="2" t="str">
        <x:f>'Invoices'!F245</x:f>
        <x:v>No</x:v>
      </x:c>
      <x:c r="L245" s="10" t="n">
        <x:f>'Start Here'!$B$5</x:f>
        <x:v>46295</x:v>
      </x:c>
    </x:row>
    <x:row r="246" ht="23" customHeight="1">
      <x:c r="A246" s="2" t="str">
        <x:f>'Invoices'!A246</x:f>
        <x:v>INV00242</x:v>
      </x:c>
      <x:c r="B246" s="2" t="str">
        <x:f>'Invoices'!B246</x:f>
        <x:v>C039</x:v>
      </x:c>
      <x:c r="C246" s="10" t="n">
        <x:f>'Invoices'!C246</x:f>
        <x:v>46293</x:v>
      </x:c>
      <x:c r="D246" s="10" t="n">
        <x:f>'Invoices'!D246</x:f>
        <x:v>46323</x:v>
      </x:c>
      <x:c r="E246" s="11" t="n">
        <x:f>'Invoices'!E246</x:f>
        <x:v>3402.02</x:v>
      </x:c>
      <x:c r="F246" s="11" t="n">
        <x:f>SUMIFS('Payments'!$E$5:$E$429,'Payments'!$B$5:$B$429,A246,'Payments'!$D$5:$D$429,"&lt;="&amp;'Start Here'!$B$5)</x:f>
        <x:v>0</x:v>
      </x:c>
      <x:c r="G246" s="11" t="n">
        <x:f>ROUND(E246-F246,2)</x:f>
        <x:v>3402.02</x:v>
      </x:c>
      <x:c r="H246" s="2" t="n">
        <x:f>IF(G246&gt;0,MAX(0,'Start Here'!$B$5-D246),0)</x:f>
        <x:v>0</x:v>
      </x:c>
      <x:c r="I246" s="2" t="str">
        <x:f>IF(G246=0,"Paid",IF(H246=0,"Current",IF(H246&lt;=30,"1-30",IF(H246&lt;=60,"31-60",IF(H246&lt;=90,"61-90","91+")))))</x:f>
        <x:v>Current</x:v>
      </x:c>
      <x:c r="J246" s="2" t="n">
        <x:f>IF(G246=0,0,IF(H246=0,1,IF(H246&lt;=30,2,IF(H246&lt;=60,3,IF(H246&lt;=90,4,5)))))</x:f>
        <x:v>1</x:v>
      </x:c>
      <x:c r="K246" s="2" t="str">
        <x:f>'Invoices'!F246</x:f>
        <x:v>No</x:v>
      </x:c>
      <x:c r="L246" s="10" t="n">
        <x:f>'Start Here'!$B$5</x:f>
        <x:v>46295</x:v>
      </x:c>
    </x:row>
    <x:row r="247" ht="23" customHeight="1">
      <x:c r="A247" s="2" t="str">
        <x:f>'Invoices'!A247</x:f>
        <x:v>INV00243</x:v>
      </x:c>
      <x:c r="B247" s="2" t="str">
        <x:f>'Invoices'!B247</x:f>
        <x:v>C030</x:v>
      </x:c>
      <x:c r="C247" s="10" t="n">
        <x:f>'Invoices'!C247</x:f>
        <x:v>46115</x:v>
      </x:c>
      <x:c r="D247" s="10" t="n">
        <x:f>'Invoices'!D247</x:f>
        <x:v>46160</x:v>
      </x:c>
      <x:c r="E247" s="11" t="n">
        <x:f>'Invoices'!E247</x:f>
        <x:v>12952.07</x:v>
      </x:c>
      <x:c r="F247" s="11" t="n">
        <x:f>SUMIFS('Payments'!$E$5:$E$429,'Payments'!$B$5:$B$429,A247,'Payments'!$D$5:$D$429,"&lt;="&amp;'Start Here'!$B$5)</x:f>
        <x:v>12952.07</x:v>
      </x:c>
      <x:c r="G247" s="11" t="n">
        <x:f>ROUND(E247-F247,2)</x:f>
        <x:v>0</x:v>
      </x:c>
      <x:c r="H247" s="2" t="n">
        <x:f>IF(G247&gt;0,MAX(0,'Start Here'!$B$5-D247),0)</x:f>
        <x:v>0</x:v>
      </x:c>
      <x:c r="I247" s="2" t="str">
        <x:f>IF(G247=0,"Paid",IF(H247=0,"Current",IF(H247&lt;=30,"1-30",IF(H247&lt;=60,"31-60",IF(H247&lt;=90,"61-90","91+")))))</x:f>
        <x:v>Paid</x:v>
      </x:c>
      <x:c r="J247" s="2" t="n">
        <x:f>IF(G247=0,0,IF(H247=0,1,IF(H247&lt;=30,2,IF(H247&lt;=60,3,IF(H247&lt;=90,4,5)))))</x:f>
        <x:v>0</x:v>
      </x:c>
      <x:c r="K247" s="2" t="str">
        <x:f>'Invoices'!F247</x:f>
        <x:v>No</x:v>
      </x:c>
      <x:c r="L247" s="10" t="n">
        <x:f>'Start Here'!$B$5</x:f>
        <x:v>46295</x:v>
      </x:c>
    </x:row>
    <x:row r="248" ht="23" customHeight="1">
      <x:c r="A248" s="2" t="str">
        <x:f>'Invoices'!A248</x:f>
        <x:v>INV00244</x:v>
      </x:c>
      <x:c r="B248" s="2" t="str">
        <x:f>'Invoices'!B248</x:f>
        <x:v>C036</x:v>
      </x:c>
      <x:c r="C248" s="10" t="n">
        <x:f>'Invoices'!C248</x:f>
        <x:v>46278</x:v>
      </x:c>
      <x:c r="D248" s="10" t="n">
        <x:f>'Invoices'!D248</x:f>
        <x:v>46308</x:v>
      </x:c>
      <x:c r="E248" s="11" t="n">
        <x:f>'Invoices'!E248</x:f>
        <x:v>7640.1</x:v>
      </x:c>
      <x:c r="F248" s="11" t="n">
        <x:f>SUMIFS('Payments'!$E$5:$E$429,'Payments'!$B$5:$B$429,A248,'Payments'!$D$5:$D$429,"&lt;="&amp;'Start Here'!$B$5)</x:f>
        <x:v>0</x:v>
      </x:c>
      <x:c r="G248" s="11" t="n">
        <x:f>ROUND(E248-F248,2)</x:f>
        <x:v>7640.1</x:v>
      </x:c>
      <x:c r="H248" s="2" t="n">
        <x:f>IF(G248&gt;0,MAX(0,'Start Here'!$B$5-D248),0)</x:f>
        <x:v>0</x:v>
      </x:c>
      <x:c r="I248" s="2" t="str">
        <x:f>IF(G248=0,"Paid",IF(H248=0,"Current",IF(H248&lt;=30,"1-30",IF(H248&lt;=60,"31-60",IF(H248&lt;=90,"61-90","91+")))))</x:f>
        <x:v>Current</x:v>
      </x:c>
      <x:c r="J248" s="2" t="n">
        <x:f>IF(G248=0,0,IF(H248=0,1,IF(H248&lt;=30,2,IF(H248&lt;=60,3,IF(H248&lt;=90,4,5)))))</x:f>
        <x:v>1</x:v>
      </x:c>
      <x:c r="K248" s="2" t="str">
        <x:f>'Invoices'!F248</x:f>
        <x:v>No</x:v>
      </x:c>
      <x:c r="L248" s="10" t="n">
        <x:f>'Start Here'!$B$5</x:f>
        <x:v>46295</x:v>
      </x:c>
    </x:row>
    <x:row r="249" ht="23" customHeight="1">
      <x:c r="A249" s="2" t="str">
        <x:f>'Invoices'!A249</x:f>
        <x:v>INV00245</x:v>
      </x:c>
      <x:c r="B249" s="2" t="str">
        <x:f>'Invoices'!B249</x:f>
        <x:v>C031</x:v>
      </x:c>
      <x:c r="C249" s="10" t="n">
        <x:f>'Invoices'!C249</x:f>
        <x:v>46216</x:v>
      </x:c>
      <x:c r="D249" s="10" t="n">
        <x:f>'Invoices'!D249</x:f>
        <x:v>46276</x:v>
      </x:c>
      <x:c r="E249" s="11" t="n">
        <x:f>'Invoices'!E249</x:f>
        <x:v>6549.64</x:v>
      </x:c>
      <x:c r="F249" s="11" t="n">
        <x:f>SUMIFS('Payments'!$E$5:$E$429,'Payments'!$B$5:$B$429,A249,'Payments'!$D$5:$D$429,"&lt;="&amp;'Start Here'!$B$5)</x:f>
        <x:v>1964.89</x:v>
      </x:c>
      <x:c r="G249" s="11" t="n">
        <x:f>ROUND(E249-F249,2)</x:f>
        <x:v>4584.75</x:v>
      </x:c>
      <x:c r="H249" s="2" t="n">
        <x:f>IF(G249&gt;0,MAX(0,'Start Here'!$B$5-D249),0)</x:f>
        <x:v>19</x:v>
      </x:c>
      <x:c r="I249" s="2" t="str">
        <x:f>IF(G249=0,"Paid",IF(H249=0,"Current",IF(H249&lt;=30,"1-30",IF(H249&lt;=60,"31-60",IF(H249&lt;=90,"61-90","91+")))))</x:f>
        <x:v>1-30</x:v>
      </x:c>
      <x:c r="J249" s="2" t="n">
        <x:f>IF(G249=0,0,IF(H249=0,1,IF(H249&lt;=30,2,IF(H249&lt;=60,3,IF(H249&lt;=90,4,5)))))</x:f>
        <x:v>2</x:v>
      </x:c>
      <x:c r="K249" s="2" t="str">
        <x:f>'Invoices'!F249</x:f>
        <x:v>No</x:v>
      </x:c>
      <x:c r="L249" s="10" t="n">
        <x:f>'Start Here'!$B$5</x:f>
        <x:v>46295</x:v>
      </x:c>
    </x:row>
    <x:row r="250" ht="23" customHeight="1">
      <x:c r="A250" s="2" t="str">
        <x:f>'Invoices'!A250</x:f>
        <x:v>INV00246</x:v>
      </x:c>
      <x:c r="B250" s="2" t="str">
        <x:f>'Invoices'!B250</x:f>
        <x:v>C022</x:v>
      </x:c>
      <x:c r="C250" s="10" t="n">
        <x:f>'Invoices'!C250</x:f>
        <x:v>46087</x:v>
      </x:c>
      <x:c r="D250" s="10" t="n">
        <x:f>'Invoices'!D250</x:f>
        <x:v>46117</x:v>
      </x:c>
      <x:c r="E250" s="11" t="n">
        <x:f>'Invoices'!E250</x:f>
        <x:v>15907.83</x:v>
      </x:c>
      <x:c r="F250" s="11" t="n">
        <x:f>SUMIFS('Payments'!$E$5:$E$429,'Payments'!$B$5:$B$429,A250,'Payments'!$D$5:$D$429,"&lt;="&amp;'Start Here'!$B$5)</x:f>
        <x:v>15907.83</x:v>
      </x:c>
      <x:c r="G250" s="11" t="n">
        <x:f>ROUND(E250-F250,2)</x:f>
        <x:v>0</x:v>
      </x:c>
      <x:c r="H250" s="2" t="n">
        <x:f>IF(G250&gt;0,MAX(0,'Start Here'!$B$5-D250),0)</x:f>
        <x:v>0</x:v>
      </x:c>
      <x:c r="I250" s="2" t="str">
        <x:f>IF(G250=0,"Paid",IF(H250=0,"Current",IF(H250&lt;=30,"1-30",IF(H250&lt;=60,"31-60",IF(H250&lt;=90,"61-90","91+")))))</x:f>
        <x:v>Paid</x:v>
      </x:c>
      <x:c r="J250" s="2" t="n">
        <x:f>IF(G250=0,0,IF(H250=0,1,IF(H250&lt;=30,2,IF(H250&lt;=60,3,IF(H250&lt;=90,4,5)))))</x:f>
        <x:v>0</x:v>
      </x:c>
      <x:c r="K250" s="2" t="str">
        <x:f>'Invoices'!F250</x:f>
        <x:v>No</x:v>
      </x:c>
      <x:c r="L250" s="10" t="n">
        <x:f>'Start Here'!$B$5</x:f>
        <x:v>46295</x:v>
      </x:c>
    </x:row>
    <x:row r="251" ht="23" customHeight="1">
      <x:c r="A251" s="2" t="str">
        <x:f>'Invoices'!A251</x:f>
        <x:v>INV00247</x:v>
      </x:c>
      <x:c r="B251" s="2" t="str">
        <x:f>'Invoices'!B251</x:f>
        <x:v>C018</x:v>
      </x:c>
      <x:c r="C251" s="10" t="n">
        <x:f>'Invoices'!C251</x:f>
        <x:v>46036</x:v>
      </x:c>
      <x:c r="D251" s="10" t="n">
        <x:f>'Invoices'!D251</x:f>
        <x:v>46081</x:v>
      </x:c>
      <x:c r="E251" s="11" t="n">
        <x:f>'Invoices'!E251</x:f>
        <x:v>6726.63</x:v>
      </x:c>
      <x:c r="F251" s="11" t="n">
        <x:f>SUMIFS('Payments'!$E$5:$E$429,'Payments'!$B$5:$B$429,A251,'Payments'!$D$5:$D$429,"&lt;="&amp;'Start Here'!$B$5)</x:f>
        <x:v>6726.63</x:v>
      </x:c>
      <x:c r="G251" s="11" t="n">
        <x:f>ROUND(E251-F251,2)</x:f>
        <x:v>0</x:v>
      </x:c>
      <x:c r="H251" s="2" t="n">
        <x:f>IF(G251&gt;0,MAX(0,'Start Here'!$B$5-D251),0)</x:f>
        <x:v>0</x:v>
      </x:c>
      <x:c r="I251" s="2" t="str">
        <x:f>IF(G251=0,"Paid",IF(H251=0,"Current",IF(H251&lt;=30,"1-30",IF(H251&lt;=60,"31-60",IF(H251&lt;=90,"61-90","91+")))))</x:f>
        <x:v>Paid</x:v>
      </x:c>
      <x:c r="J251" s="2" t="n">
        <x:f>IF(G251=0,0,IF(H251=0,1,IF(H251&lt;=30,2,IF(H251&lt;=60,3,IF(H251&lt;=90,4,5)))))</x:f>
        <x:v>0</x:v>
      </x:c>
      <x:c r="K251" s="2" t="str">
        <x:f>'Invoices'!F251</x:f>
        <x:v>No</x:v>
      </x:c>
      <x:c r="L251" s="10" t="n">
        <x:f>'Start Here'!$B$5</x:f>
        <x:v>46295</x:v>
      </x:c>
    </x:row>
    <x:row r="252" ht="23" customHeight="1">
      <x:c r="A252" s="2" t="str">
        <x:f>'Invoices'!A252</x:f>
        <x:v>INV00248</x:v>
      </x:c>
      <x:c r="B252" s="2" t="str">
        <x:f>'Invoices'!B252</x:f>
        <x:v>C035</x:v>
      </x:c>
      <x:c r="C252" s="10" t="n">
        <x:f>'Invoices'!C252</x:f>
        <x:v>46248</x:v>
      </x:c>
      <x:c r="D252" s="10" t="n">
        <x:f>'Invoices'!D252</x:f>
        <x:v>46278</x:v>
      </x:c>
      <x:c r="E252" s="11" t="n">
        <x:f>'Invoices'!E252</x:f>
        <x:v>5307.27</x:v>
      </x:c>
      <x:c r="F252" s="11" t="n">
        <x:f>SUMIFS('Payments'!$E$5:$E$429,'Payments'!$B$5:$B$429,A252,'Payments'!$D$5:$D$429,"&lt;="&amp;'Start Here'!$B$5)</x:f>
        <x:v>0</x:v>
      </x:c>
      <x:c r="G252" s="11" t="n">
        <x:f>ROUND(E252-F252,2)</x:f>
        <x:v>5307.27</x:v>
      </x:c>
      <x:c r="H252" s="2" t="n">
        <x:f>IF(G252&gt;0,MAX(0,'Start Here'!$B$5-D252),0)</x:f>
        <x:v>17</x:v>
      </x:c>
      <x:c r="I252" s="2" t="str">
        <x:f>IF(G252=0,"Paid",IF(H252=0,"Current",IF(H252&lt;=30,"1-30",IF(H252&lt;=60,"31-60",IF(H252&lt;=90,"61-90","91+")))))</x:f>
        <x:v>1-30</x:v>
      </x:c>
      <x:c r="J252" s="2" t="n">
        <x:f>IF(G252=0,0,IF(H252=0,1,IF(H252&lt;=30,2,IF(H252&lt;=60,3,IF(H252&lt;=90,4,5)))))</x:f>
        <x:v>2</x:v>
      </x:c>
      <x:c r="K252" s="2" t="str">
        <x:f>'Invoices'!F252</x:f>
        <x:v>No</x:v>
      </x:c>
      <x:c r="L252" s="10" t="n">
        <x:f>'Start Here'!$B$5</x:f>
        <x:v>46295</x:v>
      </x:c>
    </x:row>
    <x:row r="253" ht="23" customHeight="1">
      <x:c r="A253" s="2" t="str">
        <x:f>'Invoices'!A253</x:f>
        <x:v>INV00249</x:v>
      </x:c>
      <x:c r="B253" s="2" t="str">
        <x:f>'Invoices'!B253</x:f>
        <x:v>C015</x:v>
      </x:c>
      <x:c r="C253" s="10" t="n">
        <x:f>'Invoices'!C253</x:f>
        <x:v>46105</x:v>
      </x:c>
      <x:c r="D253" s="10" t="n">
        <x:f>'Invoices'!D253</x:f>
        <x:v>46135</x:v>
      </x:c>
      <x:c r="E253" s="11" t="n">
        <x:f>'Invoices'!E253</x:f>
        <x:v>15063.22</x:v>
      </x:c>
      <x:c r="F253" s="11" t="n">
        <x:f>SUMIFS('Payments'!$E$5:$E$429,'Payments'!$B$5:$B$429,A253,'Payments'!$D$5:$D$429,"&lt;="&amp;'Start Here'!$B$5)</x:f>
        <x:v>0</x:v>
      </x:c>
      <x:c r="G253" s="11" t="n">
        <x:f>ROUND(E253-F253,2)</x:f>
        <x:v>15063.22</x:v>
      </x:c>
      <x:c r="H253" s="2" t="n">
        <x:f>IF(G253&gt;0,MAX(0,'Start Here'!$B$5-D253),0)</x:f>
        <x:v>160</x:v>
      </x:c>
      <x:c r="I253" s="2" t="str">
        <x:f>IF(G253=0,"Paid",IF(H253=0,"Current",IF(H253&lt;=30,"1-30",IF(H253&lt;=60,"31-60",IF(H253&lt;=90,"61-90","91+")))))</x:f>
        <x:v>91+</x:v>
      </x:c>
      <x:c r="J253" s="2" t="n">
        <x:f>IF(G253=0,0,IF(H253=0,1,IF(H253&lt;=30,2,IF(H253&lt;=60,3,IF(H253&lt;=90,4,5)))))</x:f>
        <x:v>5</x:v>
      </x:c>
      <x:c r="K253" s="2" t="str">
        <x:f>'Invoices'!F253</x:f>
        <x:v>Yes</x:v>
      </x:c>
      <x:c r="L253" s="10" t="n">
        <x:f>'Start Here'!$B$5</x:f>
        <x:v>46295</x:v>
      </x:c>
    </x:row>
    <x:row r="254" ht="23" customHeight="1">
      <x:c r="A254" s="2" t="str">
        <x:f>'Invoices'!A254</x:f>
        <x:v>INV00250</x:v>
      </x:c>
      <x:c r="B254" s="2" t="str">
        <x:f>'Invoices'!B254</x:f>
        <x:v>C015</x:v>
      </x:c>
      <x:c r="C254" s="10" t="n">
        <x:f>'Invoices'!C254</x:f>
        <x:v>46182</x:v>
      </x:c>
      <x:c r="D254" s="10" t="n">
        <x:f>'Invoices'!D254</x:f>
        <x:v>46212</x:v>
      </x:c>
      <x:c r="E254" s="11" t="n">
        <x:f>'Invoices'!E254</x:f>
        <x:v>19479.9</x:v>
      </x:c>
      <x:c r="F254" s="11" t="n">
        <x:f>SUMIFS('Payments'!$E$5:$E$429,'Payments'!$B$5:$B$429,A254,'Payments'!$D$5:$D$429,"&lt;="&amp;'Start Here'!$B$5)</x:f>
        <x:v>19479.9</x:v>
      </x:c>
      <x:c r="G254" s="11" t="n">
        <x:f>ROUND(E254-F254,2)</x:f>
        <x:v>0</x:v>
      </x:c>
      <x:c r="H254" s="2" t="n">
        <x:f>IF(G254&gt;0,MAX(0,'Start Here'!$B$5-D254),0)</x:f>
        <x:v>0</x:v>
      </x:c>
      <x:c r="I254" s="2" t="str">
        <x:f>IF(G254=0,"Paid",IF(H254=0,"Current",IF(H254&lt;=30,"1-30",IF(H254&lt;=60,"31-60",IF(H254&lt;=90,"61-90","91+")))))</x:f>
        <x:v>Paid</x:v>
      </x:c>
      <x:c r="J254" s="2" t="n">
        <x:f>IF(G254=0,0,IF(H254=0,1,IF(H254&lt;=30,2,IF(H254&lt;=60,3,IF(H254&lt;=90,4,5)))))</x:f>
        <x:v>0</x:v>
      </x:c>
      <x:c r="K254" s="2" t="str">
        <x:f>'Invoices'!F254</x:f>
        <x:v>No</x:v>
      </x:c>
      <x:c r="L254" s="10" t="n">
        <x:f>'Start Here'!$B$5</x:f>
        <x:v>46295</x:v>
      </x:c>
    </x:row>
    <x:row r="255" ht="23" customHeight="1">
      <x:c r="A255" s="2" t="str">
        <x:f>'Invoices'!A255</x:f>
        <x:v>INV00251</x:v>
      </x:c>
      <x:c r="B255" s="2" t="str">
        <x:f>'Invoices'!B255</x:f>
        <x:v>C031</x:v>
      </x:c>
      <x:c r="C255" s="10" t="n">
        <x:f>'Invoices'!C255</x:f>
        <x:v>46237</x:v>
      </x:c>
      <x:c r="D255" s="10" t="n">
        <x:f>'Invoices'!D255</x:f>
        <x:v>46282</x:v>
      </x:c>
      <x:c r="E255" s="11" t="n">
        <x:f>'Invoices'!E255</x:f>
        <x:v>12857.56</x:v>
      </x:c>
      <x:c r="F255" s="11" t="n">
        <x:f>SUMIFS('Payments'!$E$5:$E$429,'Payments'!$B$5:$B$429,A255,'Payments'!$D$5:$D$429,"&lt;="&amp;'Start Here'!$B$5)</x:f>
        <x:v>0</x:v>
      </x:c>
      <x:c r="G255" s="11" t="n">
        <x:f>ROUND(E255-F255,2)</x:f>
        <x:v>12857.56</x:v>
      </x:c>
      <x:c r="H255" s="2" t="n">
        <x:f>IF(G255&gt;0,MAX(0,'Start Here'!$B$5-D255),0)</x:f>
        <x:v>13</x:v>
      </x:c>
      <x:c r="I255" s="2" t="str">
        <x:f>IF(G255=0,"Paid",IF(H255=0,"Current",IF(H255&lt;=30,"1-30",IF(H255&lt;=60,"31-60",IF(H255&lt;=90,"61-90","91+")))))</x:f>
        <x:v>1-30</x:v>
      </x:c>
      <x:c r="J255" s="2" t="n">
        <x:f>IF(G255=0,0,IF(H255=0,1,IF(H255&lt;=30,2,IF(H255&lt;=60,3,IF(H255&lt;=90,4,5)))))</x:f>
        <x:v>2</x:v>
      </x:c>
      <x:c r="K255" s="2" t="str">
        <x:f>'Invoices'!F255</x:f>
        <x:v>Yes</x:v>
      </x:c>
      <x:c r="L255" s="10" t="n">
        <x:f>'Start Here'!$B$5</x:f>
        <x:v>46295</x:v>
      </x:c>
    </x:row>
    <x:row r="256" ht="23" customHeight="1">
      <x:c r="A256" s="2" t="str">
        <x:f>'Invoices'!A256</x:f>
        <x:v>INV00252</x:v>
      </x:c>
      <x:c r="B256" s="2" t="str">
        <x:f>'Invoices'!B256</x:f>
        <x:v>C026</x:v>
      </x:c>
      <x:c r="C256" s="10" t="n">
        <x:f>'Invoices'!C256</x:f>
        <x:v>46173</x:v>
      </x:c>
      <x:c r="D256" s="10" t="n">
        <x:f>'Invoices'!D256</x:f>
        <x:v>46203</x:v>
      </x:c>
      <x:c r="E256" s="11" t="n">
        <x:f>'Invoices'!E256</x:f>
        <x:v>10872.29</x:v>
      </x:c>
      <x:c r="F256" s="11" t="n">
        <x:f>SUMIFS('Payments'!$E$5:$E$429,'Payments'!$B$5:$B$429,A256,'Payments'!$D$5:$D$429,"&lt;="&amp;'Start Here'!$B$5)</x:f>
        <x:v>10872.29</x:v>
      </x:c>
      <x:c r="G256" s="11" t="n">
        <x:f>ROUND(E256-F256,2)</x:f>
        <x:v>0</x:v>
      </x:c>
      <x:c r="H256" s="2" t="n">
        <x:f>IF(G256&gt;0,MAX(0,'Start Here'!$B$5-D256),0)</x:f>
        <x:v>0</x:v>
      </x:c>
      <x:c r="I256" s="2" t="str">
        <x:f>IF(G256=0,"Paid",IF(H256=0,"Current",IF(H256&lt;=30,"1-30",IF(H256&lt;=60,"31-60",IF(H256&lt;=90,"61-90","91+")))))</x:f>
        <x:v>Paid</x:v>
      </x:c>
      <x:c r="J256" s="2" t="n">
        <x:f>IF(G256=0,0,IF(H256=0,1,IF(H256&lt;=30,2,IF(H256&lt;=60,3,IF(H256&lt;=90,4,5)))))</x:f>
        <x:v>0</x:v>
      </x:c>
      <x:c r="K256" s="2" t="str">
        <x:f>'Invoices'!F256</x:f>
        <x:v>No</x:v>
      </x:c>
      <x:c r="L256" s="10" t="n">
        <x:f>'Start Here'!$B$5</x:f>
        <x:v>46295</x:v>
      </x:c>
    </x:row>
    <x:row r="257" ht="23" customHeight="1">
      <x:c r="A257" s="2" t="str">
        <x:f>'Invoices'!A257</x:f>
        <x:v>INV00253</x:v>
      </x:c>
      <x:c r="B257" s="2" t="str">
        <x:f>'Invoices'!B257</x:f>
        <x:v>C024</x:v>
      </x:c>
      <x:c r="C257" s="10" t="n">
        <x:f>'Invoices'!C257</x:f>
        <x:v>46079</x:v>
      </x:c>
      <x:c r="D257" s="10" t="n">
        <x:f>'Invoices'!D257</x:f>
        <x:v>46094</x:v>
      </x:c>
      <x:c r="E257" s="11" t="n">
        <x:f>'Invoices'!E257</x:f>
        <x:v>12147.86</x:v>
      </x:c>
      <x:c r="F257" s="11" t="n">
        <x:f>SUMIFS('Payments'!$E$5:$E$429,'Payments'!$B$5:$B$429,A257,'Payments'!$D$5:$D$429,"&lt;="&amp;'Start Here'!$B$5)</x:f>
        <x:v>12147.86</x:v>
      </x:c>
      <x:c r="G257" s="11" t="n">
        <x:f>ROUND(E257-F257,2)</x:f>
        <x:v>0</x:v>
      </x:c>
      <x:c r="H257" s="2" t="n">
        <x:f>IF(G257&gt;0,MAX(0,'Start Here'!$B$5-D257),0)</x:f>
        <x:v>0</x:v>
      </x:c>
      <x:c r="I257" s="2" t="str">
        <x:f>IF(G257=0,"Paid",IF(H257=0,"Current",IF(H257&lt;=30,"1-30",IF(H257&lt;=60,"31-60",IF(H257&lt;=90,"61-90","91+")))))</x:f>
        <x:v>Paid</x:v>
      </x:c>
      <x:c r="J257" s="2" t="n">
        <x:f>IF(G257=0,0,IF(H257=0,1,IF(H257&lt;=30,2,IF(H257&lt;=60,3,IF(H257&lt;=90,4,5)))))</x:f>
        <x:v>0</x:v>
      </x:c>
      <x:c r="K257" s="2" t="str">
        <x:f>'Invoices'!F257</x:f>
        <x:v>No</x:v>
      </x:c>
      <x:c r="L257" s="10" t="n">
        <x:f>'Start Here'!$B$5</x:f>
        <x:v>46295</x:v>
      </x:c>
    </x:row>
    <x:row r="258" ht="23" customHeight="1">
      <x:c r="A258" s="2" t="str">
        <x:f>'Invoices'!A258</x:f>
        <x:v>INV00254</x:v>
      </x:c>
      <x:c r="B258" s="2" t="str">
        <x:f>'Invoices'!B258</x:f>
        <x:v>C020</x:v>
      </x:c>
      <x:c r="C258" s="10" t="n">
        <x:f>'Invoices'!C258</x:f>
        <x:v>46145</x:v>
      </x:c>
      <x:c r="D258" s="10" t="n">
        <x:f>'Invoices'!D258</x:f>
        <x:v>46160</x:v>
      </x:c>
      <x:c r="E258" s="11" t="n">
        <x:f>'Invoices'!E258</x:f>
        <x:v>9325.06</x:v>
      </x:c>
      <x:c r="F258" s="11" t="n">
        <x:f>SUMIFS('Payments'!$E$5:$E$429,'Payments'!$B$5:$B$429,A258,'Payments'!$D$5:$D$429,"&lt;="&amp;'Start Here'!$B$5)</x:f>
        <x:v>9325.06</x:v>
      </x:c>
      <x:c r="G258" s="11" t="n">
        <x:f>ROUND(E258-F258,2)</x:f>
        <x:v>0</x:v>
      </x:c>
      <x:c r="H258" s="2" t="n">
        <x:f>IF(G258&gt;0,MAX(0,'Start Here'!$B$5-D258),0)</x:f>
        <x:v>0</x:v>
      </x:c>
      <x:c r="I258" s="2" t="str">
        <x:f>IF(G258=0,"Paid",IF(H258=0,"Current",IF(H258&lt;=30,"1-30",IF(H258&lt;=60,"31-60",IF(H258&lt;=90,"61-90","91+")))))</x:f>
        <x:v>Paid</x:v>
      </x:c>
      <x:c r="J258" s="2" t="n">
        <x:f>IF(G258=0,0,IF(H258=0,1,IF(H258&lt;=30,2,IF(H258&lt;=60,3,IF(H258&lt;=90,4,5)))))</x:f>
        <x:v>0</x:v>
      </x:c>
      <x:c r="K258" s="2" t="str">
        <x:f>'Invoices'!F258</x:f>
        <x:v>No</x:v>
      </x:c>
      <x:c r="L258" s="10" t="n">
        <x:f>'Start Here'!$B$5</x:f>
        <x:v>46295</x:v>
      </x:c>
    </x:row>
    <x:row r="259" ht="23" customHeight="1">
      <x:c r="A259" s="2" t="str">
        <x:f>'Invoices'!A259</x:f>
        <x:v>INV00255</x:v>
      </x:c>
      <x:c r="B259" s="2" t="str">
        <x:f>'Invoices'!B259</x:f>
        <x:v>C024</x:v>
      </x:c>
      <x:c r="C259" s="10" t="n">
        <x:f>'Invoices'!C259</x:f>
        <x:v>46156</x:v>
      </x:c>
      <x:c r="D259" s="10" t="n">
        <x:f>'Invoices'!D259</x:f>
        <x:v>46216</x:v>
      </x:c>
      <x:c r="E259" s="11" t="n">
        <x:f>'Invoices'!E259</x:f>
        <x:v>19768.03</x:v>
      </x:c>
      <x:c r="F259" s="11" t="n">
        <x:f>SUMIFS('Payments'!$E$5:$E$429,'Payments'!$B$5:$B$429,A259,'Payments'!$D$5:$D$429,"&lt;="&amp;'Start Here'!$B$5)</x:f>
        <x:v>19768.03</x:v>
      </x:c>
      <x:c r="G259" s="11" t="n">
        <x:f>ROUND(E259-F259,2)</x:f>
        <x:v>0</x:v>
      </x:c>
      <x:c r="H259" s="2" t="n">
        <x:f>IF(G259&gt;0,MAX(0,'Start Here'!$B$5-D259),0)</x:f>
        <x:v>0</x:v>
      </x:c>
      <x:c r="I259" s="2" t="str">
        <x:f>IF(G259=0,"Paid",IF(H259=0,"Current",IF(H259&lt;=30,"1-30",IF(H259&lt;=60,"31-60",IF(H259&lt;=90,"61-90","91+")))))</x:f>
        <x:v>Paid</x:v>
      </x:c>
      <x:c r="J259" s="2" t="n">
        <x:f>IF(G259=0,0,IF(H259=0,1,IF(H259&lt;=30,2,IF(H259&lt;=60,3,IF(H259&lt;=90,4,5)))))</x:f>
        <x:v>0</x:v>
      </x:c>
      <x:c r="K259" s="2" t="str">
        <x:f>'Invoices'!F259</x:f>
        <x:v>No</x:v>
      </x:c>
      <x:c r="L259" s="10" t="n">
        <x:f>'Start Here'!$B$5</x:f>
        <x:v>46295</x:v>
      </x:c>
    </x:row>
    <x:row r="260" ht="23" customHeight="1">
      <x:c r="A260" s="2" t="str">
        <x:f>'Invoices'!A260</x:f>
        <x:v>INV00256</x:v>
      </x:c>
      <x:c r="B260" s="2" t="str">
        <x:f>'Invoices'!B260</x:f>
        <x:v>C009</x:v>
      </x:c>
      <x:c r="C260" s="10" t="n">
        <x:f>'Invoices'!C260</x:f>
        <x:v>46146</x:v>
      </x:c>
      <x:c r="D260" s="10" t="n">
        <x:f>'Invoices'!D260</x:f>
        <x:v>46176</x:v>
      </x:c>
      <x:c r="E260" s="11" t="n">
        <x:f>'Invoices'!E260</x:f>
        <x:v>15686.29</x:v>
      </x:c>
      <x:c r="F260" s="11" t="n">
        <x:f>SUMIFS('Payments'!$E$5:$E$429,'Payments'!$B$5:$B$429,A260,'Payments'!$D$5:$D$429,"&lt;="&amp;'Start Here'!$B$5)</x:f>
        <x:v>15686.29</x:v>
      </x:c>
      <x:c r="G260" s="11" t="n">
        <x:f>ROUND(E260-F260,2)</x:f>
        <x:v>0</x:v>
      </x:c>
      <x:c r="H260" s="2" t="n">
        <x:f>IF(G260&gt;0,MAX(0,'Start Here'!$B$5-D260),0)</x:f>
        <x:v>0</x:v>
      </x:c>
      <x:c r="I260" s="2" t="str">
        <x:f>IF(G260=0,"Paid",IF(H260=0,"Current",IF(H260&lt;=30,"1-30",IF(H260&lt;=60,"31-60",IF(H260&lt;=90,"61-90","91+")))))</x:f>
        <x:v>Paid</x:v>
      </x:c>
      <x:c r="J260" s="2" t="n">
        <x:f>IF(G260=0,0,IF(H260=0,1,IF(H260&lt;=30,2,IF(H260&lt;=60,3,IF(H260&lt;=90,4,5)))))</x:f>
        <x:v>0</x:v>
      </x:c>
      <x:c r="K260" s="2" t="str">
        <x:f>'Invoices'!F260</x:f>
        <x:v>No</x:v>
      </x:c>
      <x:c r="L260" s="10" t="n">
        <x:f>'Start Here'!$B$5</x:f>
        <x:v>46295</x:v>
      </x:c>
    </x:row>
    <x:row r="261" ht="23" customHeight="1">
      <x:c r="A261" s="2" t="str">
        <x:f>'Invoices'!A261</x:f>
        <x:v>INV00257</x:v>
      </x:c>
      <x:c r="B261" s="2" t="str">
        <x:f>'Invoices'!B261</x:f>
        <x:v>C014</x:v>
      </x:c>
      <x:c r="C261" s="10" t="n">
        <x:f>'Invoices'!C261</x:f>
        <x:v>46046</x:v>
      </x:c>
      <x:c r="D261" s="10" t="n">
        <x:f>'Invoices'!D261</x:f>
        <x:v>46076</x:v>
      </x:c>
      <x:c r="E261" s="11" t="n">
        <x:f>'Invoices'!E261</x:f>
        <x:v>2415.02</x:v>
      </x:c>
      <x:c r="F261" s="11" t="n">
        <x:f>SUMIFS('Payments'!$E$5:$E$429,'Payments'!$B$5:$B$429,A261,'Payments'!$D$5:$D$429,"&lt;="&amp;'Start Here'!$B$5)</x:f>
        <x:v>2415.02</x:v>
      </x:c>
      <x:c r="G261" s="11" t="n">
        <x:f>ROUND(E261-F261,2)</x:f>
        <x:v>0</x:v>
      </x:c>
      <x:c r="H261" s="2" t="n">
        <x:f>IF(G261&gt;0,MAX(0,'Start Here'!$B$5-D261),0)</x:f>
        <x:v>0</x:v>
      </x:c>
      <x:c r="I261" s="2" t="str">
        <x:f>IF(G261=0,"Paid",IF(H261=0,"Current",IF(H261&lt;=30,"1-30",IF(H261&lt;=60,"31-60",IF(H261&lt;=90,"61-90","91+")))))</x:f>
        <x:v>Paid</x:v>
      </x:c>
      <x:c r="J261" s="2" t="n">
        <x:f>IF(G261=0,0,IF(H261=0,1,IF(H261&lt;=30,2,IF(H261&lt;=60,3,IF(H261&lt;=90,4,5)))))</x:f>
        <x:v>0</x:v>
      </x:c>
      <x:c r="K261" s="2" t="str">
        <x:f>'Invoices'!F261</x:f>
        <x:v>No</x:v>
      </x:c>
      <x:c r="L261" s="10" t="n">
        <x:f>'Start Here'!$B$5</x:f>
        <x:v>46295</x:v>
      </x:c>
    </x:row>
    <x:row r="262" ht="23" customHeight="1">
      <x:c r="A262" s="2" t="str">
        <x:f>'Invoices'!A262</x:f>
        <x:v>INV00258</x:v>
      </x:c>
      <x:c r="B262" s="2" t="str">
        <x:f>'Invoices'!B262</x:f>
        <x:v>C017</x:v>
      </x:c>
      <x:c r="C262" s="10" t="n">
        <x:f>'Invoices'!C262</x:f>
        <x:v>46190</x:v>
      </x:c>
      <x:c r="D262" s="10" t="n">
        <x:f>'Invoices'!D262</x:f>
        <x:v>46205</x:v>
      </x:c>
      <x:c r="E262" s="11" t="n">
        <x:f>'Invoices'!E262</x:f>
        <x:v>8925.92</x:v>
      </x:c>
      <x:c r="F262" s="11" t="n">
        <x:f>SUMIFS('Payments'!$E$5:$E$429,'Payments'!$B$5:$B$429,A262,'Payments'!$D$5:$D$429,"&lt;="&amp;'Start Here'!$B$5)</x:f>
        <x:v>0</x:v>
      </x:c>
      <x:c r="G262" s="11" t="n">
        <x:f>ROUND(E262-F262,2)</x:f>
        <x:v>8925.92</x:v>
      </x:c>
      <x:c r="H262" s="2" t="n">
        <x:f>IF(G262&gt;0,MAX(0,'Start Here'!$B$5-D262),0)</x:f>
        <x:v>90</x:v>
      </x:c>
      <x:c r="I262" s="2" t="str">
        <x:f>IF(G262=0,"Paid",IF(H262=0,"Current",IF(H262&lt;=30,"1-30",IF(H262&lt;=60,"31-60",IF(H262&lt;=90,"61-90","91+")))))</x:f>
        <x:v>61-90</x:v>
      </x:c>
      <x:c r="J262" s="2" t="n">
        <x:f>IF(G262=0,0,IF(H262=0,1,IF(H262&lt;=30,2,IF(H262&lt;=60,3,IF(H262&lt;=90,4,5)))))</x:f>
        <x:v>4</x:v>
      </x:c>
      <x:c r="K262" s="2" t="str">
        <x:f>'Invoices'!F262</x:f>
        <x:v>No</x:v>
      </x:c>
      <x:c r="L262" s="10" t="n">
        <x:f>'Start Here'!$B$5</x:f>
        <x:v>46295</x:v>
      </x:c>
    </x:row>
    <x:row r="263" ht="23" customHeight="1">
      <x:c r="A263" s="2" t="str">
        <x:f>'Invoices'!A263</x:f>
        <x:v>INV00259</x:v>
      </x:c>
      <x:c r="B263" s="2" t="str">
        <x:f>'Invoices'!B263</x:f>
        <x:v>C020</x:v>
      </x:c>
      <x:c r="C263" s="10" t="n">
        <x:f>'Invoices'!C263</x:f>
        <x:v>46165</x:v>
      </x:c>
      <x:c r="D263" s="10" t="n">
        <x:f>'Invoices'!D263</x:f>
        <x:v>46225</x:v>
      </x:c>
      <x:c r="E263" s="11" t="n">
        <x:f>'Invoices'!E263</x:f>
        <x:v>14738.08</x:v>
      </x:c>
      <x:c r="F263" s="11" t="n">
        <x:f>SUMIFS('Payments'!$E$5:$E$429,'Payments'!$B$5:$B$429,A263,'Payments'!$D$5:$D$429,"&lt;="&amp;'Start Here'!$B$5)</x:f>
        <x:v>0</x:v>
      </x:c>
      <x:c r="G263" s="11" t="n">
        <x:f>ROUND(E263-F263,2)</x:f>
        <x:v>14738.08</x:v>
      </x:c>
      <x:c r="H263" s="2" t="n">
        <x:f>IF(G263&gt;0,MAX(0,'Start Here'!$B$5-D263),0)</x:f>
        <x:v>70</x:v>
      </x:c>
      <x:c r="I263" s="2" t="str">
        <x:f>IF(G263=0,"Paid",IF(H263=0,"Current",IF(H263&lt;=30,"1-30",IF(H263&lt;=60,"31-60",IF(H263&lt;=90,"61-90","91+")))))</x:f>
        <x:v>61-90</x:v>
      </x:c>
      <x:c r="J263" s="2" t="n">
        <x:f>IF(G263=0,0,IF(H263=0,1,IF(H263&lt;=30,2,IF(H263&lt;=60,3,IF(H263&lt;=90,4,5)))))</x:f>
        <x:v>4</x:v>
      </x:c>
      <x:c r="K263" s="2" t="str">
        <x:f>'Invoices'!F263</x:f>
        <x:v>Yes</x:v>
      </x:c>
      <x:c r="L263" s="10" t="n">
        <x:f>'Start Here'!$B$5</x:f>
        <x:v>46295</x:v>
      </x:c>
    </x:row>
    <x:row r="264" ht="23" customHeight="1">
      <x:c r="A264" s="2" t="str">
        <x:f>'Invoices'!A264</x:f>
        <x:v>INV00260</x:v>
      </x:c>
      <x:c r="B264" s="2" t="str">
        <x:f>'Invoices'!B264</x:f>
        <x:v>C007</x:v>
      </x:c>
      <x:c r="C264" s="10" t="n">
        <x:f>'Invoices'!C264</x:f>
        <x:v>46163</x:v>
      </x:c>
      <x:c r="D264" s="10" t="n">
        <x:f>'Invoices'!D264</x:f>
        <x:v>46193</x:v>
      </x:c>
      <x:c r="E264" s="11" t="n">
        <x:f>'Invoices'!E264</x:f>
        <x:v>4801.38</x:v>
      </x:c>
      <x:c r="F264" s="11" t="n">
        <x:f>SUMIFS('Payments'!$E$5:$E$429,'Payments'!$B$5:$B$429,A264,'Payments'!$D$5:$D$429,"&lt;="&amp;'Start Here'!$B$5)</x:f>
        <x:v>4801.38</x:v>
      </x:c>
      <x:c r="G264" s="11" t="n">
        <x:f>ROUND(E264-F264,2)</x:f>
        <x:v>0</x:v>
      </x:c>
      <x:c r="H264" s="2" t="n">
        <x:f>IF(G264&gt;0,MAX(0,'Start Here'!$B$5-D264),0)</x:f>
        <x:v>0</x:v>
      </x:c>
      <x:c r="I264" s="2" t="str">
        <x:f>IF(G264=0,"Paid",IF(H264=0,"Current",IF(H264&lt;=30,"1-30",IF(H264&lt;=60,"31-60",IF(H264&lt;=90,"61-90","91+")))))</x:f>
        <x:v>Paid</x:v>
      </x:c>
      <x:c r="J264" s="2" t="n">
        <x:f>IF(G264=0,0,IF(H264=0,1,IF(H264&lt;=30,2,IF(H264&lt;=60,3,IF(H264&lt;=90,4,5)))))</x:f>
        <x:v>0</x:v>
      </x:c>
      <x:c r="K264" s="2" t="str">
        <x:f>'Invoices'!F264</x:f>
        <x:v>No</x:v>
      </x:c>
      <x:c r="L264" s="10" t="n">
        <x:f>'Start Here'!$B$5</x:f>
        <x:v>46295</x:v>
      </x:c>
    </x:row>
    <x:row r="265" ht="23" customHeight="1">
      <x:c r="A265" s="2" t="str">
        <x:f>'Invoices'!A265</x:f>
        <x:v>INV00261</x:v>
      </x:c>
      <x:c r="B265" s="2" t="str">
        <x:f>'Invoices'!B265</x:f>
        <x:v>C038</x:v>
      </x:c>
      <x:c r="C265" s="10" t="n">
        <x:f>'Invoices'!C265</x:f>
        <x:v>46070</x:v>
      </x:c>
      <x:c r="D265" s="10" t="n">
        <x:f>'Invoices'!D265</x:f>
        <x:v>46130</x:v>
      </x:c>
      <x:c r="E265" s="11" t="n">
        <x:f>'Invoices'!E265</x:f>
        <x:v>2396.35</x:v>
      </x:c>
      <x:c r="F265" s="11" t="n">
        <x:f>SUMIFS('Payments'!$E$5:$E$429,'Payments'!$B$5:$B$429,A265,'Payments'!$D$5:$D$429,"&lt;="&amp;'Start Here'!$B$5)</x:f>
        <x:v>2396.35</x:v>
      </x:c>
      <x:c r="G265" s="11" t="n">
        <x:f>ROUND(E265-F265,2)</x:f>
        <x:v>0</x:v>
      </x:c>
      <x:c r="H265" s="2" t="n">
        <x:f>IF(G265&gt;0,MAX(0,'Start Here'!$B$5-D265),0)</x:f>
        <x:v>0</x:v>
      </x:c>
      <x:c r="I265" s="2" t="str">
        <x:f>IF(G265=0,"Paid",IF(H265=0,"Current",IF(H265&lt;=30,"1-30",IF(H265&lt;=60,"31-60",IF(H265&lt;=90,"61-90","91+")))))</x:f>
        <x:v>Paid</x:v>
      </x:c>
      <x:c r="J265" s="2" t="n">
        <x:f>IF(G265=0,0,IF(H265=0,1,IF(H265&lt;=30,2,IF(H265&lt;=60,3,IF(H265&lt;=90,4,5)))))</x:f>
        <x:v>0</x:v>
      </x:c>
      <x:c r="K265" s="2" t="str">
        <x:f>'Invoices'!F265</x:f>
        <x:v>No</x:v>
      </x:c>
      <x:c r="L265" s="10" t="n">
        <x:f>'Start Here'!$B$5</x:f>
        <x:v>46295</x:v>
      </x:c>
    </x:row>
    <x:row r="266" ht="23" customHeight="1">
      <x:c r="A266" s="2" t="str">
        <x:f>'Invoices'!A266</x:f>
        <x:v>INV00262</x:v>
      </x:c>
      <x:c r="B266" s="2" t="str">
        <x:f>'Invoices'!B266</x:f>
        <x:v>C008</x:v>
      </x:c>
      <x:c r="C266" s="10" t="n">
        <x:f>'Invoices'!C266</x:f>
        <x:v>46056</x:v>
      </x:c>
      <x:c r="D266" s="10" t="n">
        <x:f>'Invoices'!D266</x:f>
        <x:v>46086</x:v>
      </x:c>
      <x:c r="E266" s="11" t="n">
        <x:f>'Invoices'!E266</x:f>
        <x:v>4034.08</x:v>
      </x:c>
      <x:c r="F266" s="11" t="n">
        <x:f>SUMIFS('Payments'!$E$5:$E$429,'Payments'!$B$5:$B$429,A266,'Payments'!$D$5:$D$429,"&lt;="&amp;'Start Here'!$B$5)</x:f>
        <x:v>4034.08</x:v>
      </x:c>
      <x:c r="G266" s="11" t="n">
        <x:f>ROUND(E266-F266,2)</x:f>
        <x:v>0</x:v>
      </x:c>
      <x:c r="H266" s="2" t="n">
        <x:f>IF(G266&gt;0,MAX(0,'Start Here'!$B$5-D266),0)</x:f>
        <x:v>0</x:v>
      </x:c>
      <x:c r="I266" s="2" t="str">
        <x:f>IF(G266=0,"Paid",IF(H266=0,"Current",IF(H266&lt;=30,"1-30",IF(H266&lt;=60,"31-60",IF(H266&lt;=90,"61-90","91+")))))</x:f>
        <x:v>Paid</x:v>
      </x:c>
      <x:c r="J266" s="2" t="n">
        <x:f>IF(G266=0,0,IF(H266=0,1,IF(H266&lt;=30,2,IF(H266&lt;=60,3,IF(H266&lt;=90,4,5)))))</x:f>
        <x:v>0</x:v>
      </x:c>
      <x:c r="K266" s="2" t="str">
        <x:f>'Invoices'!F266</x:f>
        <x:v>No</x:v>
      </x:c>
      <x:c r="L266" s="10" t="n">
        <x:f>'Start Here'!$B$5</x:f>
        <x:v>46295</x:v>
      </x:c>
    </x:row>
    <x:row r="267" ht="23" customHeight="1">
      <x:c r="A267" s="2" t="str">
        <x:f>'Invoices'!A267</x:f>
        <x:v>INV00263</x:v>
      </x:c>
      <x:c r="B267" s="2" t="str">
        <x:f>'Invoices'!B267</x:f>
        <x:v>C039</x:v>
      </x:c>
      <x:c r="C267" s="10" t="n">
        <x:f>'Invoices'!C267</x:f>
        <x:v>46062</x:v>
      </x:c>
      <x:c r="D267" s="10" t="n">
        <x:f>'Invoices'!D267</x:f>
        <x:v>46077</x:v>
      </x:c>
      <x:c r="E267" s="11" t="n">
        <x:f>'Invoices'!E267</x:f>
        <x:v>6241.83</x:v>
      </x:c>
      <x:c r="F267" s="11" t="n">
        <x:f>SUMIFS('Payments'!$E$5:$E$429,'Payments'!$B$5:$B$429,A267,'Payments'!$D$5:$D$429,"&lt;="&amp;'Start Here'!$B$5)</x:f>
        <x:v>6241.83</x:v>
      </x:c>
      <x:c r="G267" s="11" t="n">
        <x:f>ROUND(E267-F267,2)</x:f>
        <x:v>0</x:v>
      </x:c>
      <x:c r="H267" s="2" t="n">
        <x:f>IF(G267&gt;0,MAX(0,'Start Here'!$B$5-D267),0)</x:f>
        <x:v>0</x:v>
      </x:c>
      <x:c r="I267" s="2" t="str">
        <x:f>IF(G267=0,"Paid",IF(H267=0,"Current",IF(H267&lt;=30,"1-30",IF(H267&lt;=60,"31-60",IF(H267&lt;=90,"61-90","91+")))))</x:f>
        <x:v>Paid</x:v>
      </x:c>
      <x:c r="J267" s="2" t="n">
        <x:f>IF(G267=0,0,IF(H267=0,1,IF(H267&lt;=30,2,IF(H267&lt;=60,3,IF(H267&lt;=90,4,5)))))</x:f>
        <x:v>0</x:v>
      </x:c>
      <x:c r="K267" s="2" t="str">
        <x:f>'Invoices'!F267</x:f>
        <x:v>No</x:v>
      </x:c>
      <x:c r="L267" s="10" t="n">
        <x:f>'Start Here'!$B$5</x:f>
        <x:v>46295</x:v>
      </x:c>
    </x:row>
    <x:row r="268" ht="23" customHeight="1">
      <x:c r="A268" s="2" t="str">
        <x:f>'Invoices'!A268</x:f>
        <x:v>INV00264</x:v>
      </x:c>
      <x:c r="B268" s="2" t="str">
        <x:f>'Invoices'!B268</x:f>
        <x:v>C015</x:v>
      </x:c>
      <x:c r="C268" s="10" t="n">
        <x:f>'Invoices'!C268</x:f>
        <x:v>46127</x:v>
      </x:c>
      <x:c r="D268" s="10" t="n">
        <x:f>'Invoices'!D268</x:f>
        <x:v>46172</x:v>
      </x:c>
      <x:c r="E268" s="11" t="n">
        <x:f>'Invoices'!E268</x:f>
        <x:v>9785.94</x:v>
      </x:c>
      <x:c r="F268" s="11" t="n">
        <x:f>SUMIFS('Payments'!$E$5:$E$429,'Payments'!$B$5:$B$429,A268,'Payments'!$D$5:$D$429,"&lt;="&amp;'Start Here'!$B$5)</x:f>
        <x:v>9785.94</x:v>
      </x:c>
      <x:c r="G268" s="11" t="n">
        <x:f>ROUND(E268-F268,2)</x:f>
        <x:v>0</x:v>
      </x:c>
      <x:c r="H268" s="2" t="n">
        <x:f>IF(G268&gt;0,MAX(0,'Start Here'!$B$5-D268),0)</x:f>
        <x:v>0</x:v>
      </x:c>
      <x:c r="I268" s="2" t="str">
        <x:f>IF(G268=0,"Paid",IF(H268=0,"Current",IF(H268&lt;=30,"1-30",IF(H268&lt;=60,"31-60",IF(H268&lt;=90,"61-90","91+")))))</x:f>
        <x:v>Paid</x:v>
      </x:c>
      <x:c r="J268" s="2" t="n">
        <x:f>IF(G268=0,0,IF(H268=0,1,IF(H268&lt;=30,2,IF(H268&lt;=60,3,IF(H268&lt;=90,4,5)))))</x:f>
        <x:v>0</x:v>
      </x:c>
      <x:c r="K268" s="2" t="str">
        <x:f>'Invoices'!F268</x:f>
        <x:v>No</x:v>
      </x:c>
      <x:c r="L268" s="10" t="n">
        <x:f>'Start Here'!$B$5</x:f>
        <x:v>46295</x:v>
      </x:c>
    </x:row>
    <x:row r="269" ht="23" customHeight="1">
      <x:c r="A269" s="2" t="str">
        <x:f>'Invoices'!A269</x:f>
        <x:v>INV00265</x:v>
      </x:c>
      <x:c r="B269" s="2" t="str">
        <x:f>'Invoices'!B269</x:f>
        <x:v>C022</x:v>
      </x:c>
      <x:c r="C269" s="10" t="n">
        <x:f>'Invoices'!C269</x:f>
        <x:v>46169</x:v>
      </x:c>
      <x:c r="D269" s="10" t="n">
        <x:f>'Invoices'!D269</x:f>
        <x:v>46184</x:v>
      </x:c>
      <x:c r="E269" s="11" t="n">
        <x:f>'Invoices'!E269</x:f>
        <x:v>3660.67</x:v>
      </x:c>
      <x:c r="F269" s="11" t="n">
        <x:f>SUMIFS('Payments'!$E$5:$E$429,'Payments'!$B$5:$B$429,A269,'Payments'!$D$5:$D$429,"&lt;="&amp;'Start Here'!$B$5)</x:f>
        <x:v>0</x:v>
      </x:c>
      <x:c r="G269" s="11" t="n">
        <x:f>ROUND(E269-F269,2)</x:f>
        <x:v>3660.67</x:v>
      </x:c>
      <x:c r="H269" s="2" t="n">
        <x:f>IF(G269&gt;0,MAX(0,'Start Here'!$B$5-D269),0)</x:f>
        <x:v>111</x:v>
      </x:c>
      <x:c r="I269" s="2" t="str">
        <x:f>IF(G269=0,"Paid",IF(H269=0,"Current",IF(H269&lt;=30,"1-30",IF(H269&lt;=60,"31-60",IF(H269&lt;=90,"61-90","91+")))))</x:f>
        <x:v>91+</x:v>
      </x:c>
      <x:c r="J269" s="2" t="n">
        <x:f>IF(G269=0,0,IF(H269=0,1,IF(H269&lt;=30,2,IF(H269&lt;=60,3,IF(H269&lt;=90,4,5)))))</x:f>
        <x:v>5</x:v>
      </x:c>
      <x:c r="K269" s="2" t="str">
        <x:f>'Invoices'!F269</x:f>
        <x:v>No</x:v>
      </x:c>
      <x:c r="L269" s="10" t="n">
        <x:f>'Start Here'!$B$5</x:f>
        <x:v>46295</x:v>
      </x:c>
    </x:row>
    <x:row r="270" ht="23" customHeight="1">
      <x:c r="A270" s="2" t="str">
        <x:f>'Invoices'!A270</x:f>
        <x:v>INV00266</x:v>
      </x:c>
      <x:c r="B270" s="2" t="str">
        <x:f>'Invoices'!B270</x:f>
        <x:v>C033</x:v>
      </x:c>
      <x:c r="C270" s="10" t="n">
        <x:f>'Invoices'!C270</x:f>
        <x:v>46081</x:v>
      </x:c>
      <x:c r="D270" s="10" t="n">
        <x:f>'Invoices'!D270</x:f>
        <x:v>46141</x:v>
      </x:c>
      <x:c r="E270" s="11" t="n">
        <x:f>'Invoices'!E270</x:f>
        <x:v>12032.82</x:v>
      </x:c>
      <x:c r="F270" s="11" t="n">
        <x:f>SUMIFS('Payments'!$E$5:$E$429,'Payments'!$B$5:$B$429,A270,'Payments'!$D$5:$D$429,"&lt;="&amp;'Start Here'!$B$5)</x:f>
        <x:v>12032.82</x:v>
      </x:c>
      <x:c r="G270" s="11" t="n">
        <x:f>ROUND(E270-F270,2)</x:f>
        <x:v>0</x:v>
      </x:c>
      <x:c r="H270" s="2" t="n">
        <x:f>IF(G270&gt;0,MAX(0,'Start Here'!$B$5-D270),0)</x:f>
        <x:v>0</x:v>
      </x:c>
      <x:c r="I270" s="2" t="str">
        <x:f>IF(G270=0,"Paid",IF(H270=0,"Current",IF(H270&lt;=30,"1-30",IF(H270&lt;=60,"31-60",IF(H270&lt;=90,"61-90","91+")))))</x:f>
        <x:v>Paid</x:v>
      </x:c>
      <x:c r="J270" s="2" t="n">
        <x:f>IF(G270=0,0,IF(H270=0,1,IF(H270&lt;=30,2,IF(H270&lt;=60,3,IF(H270&lt;=90,4,5)))))</x:f>
        <x:v>0</x:v>
      </x:c>
      <x:c r="K270" s="2" t="str">
        <x:f>'Invoices'!F270</x:f>
        <x:v>No</x:v>
      </x:c>
      <x:c r="L270" s="10" t="n">
        <x:f>'Start Here'!$B$5</x:f>
        <x:v>46295</x:v>
      </x:c>
    </x:row>
    <x:row r="271" ht="23" customHeight="1">
      <x:c r="A271" s="2" t="str">
        <x:f>'Invoices'!A271</x:f>
        <x:v>INV00267</x:v>
      </x:c>
      <x:c r="B271" s="2" t="str">
        <x:f>'Invoices'!B271</x:f>
        <x:v>C011</x:v>
      </x:c>
      <x:c r="C271" s="10" t="n">
        <x:f>'Invoices'!C271</x:f>
        <x:v>46160</x:v>
      </x:c>
      <x:c r="D271" s="10" t="n">
        <x:f>'Invoices'!D271</x:f>
        <x:v>46175</x:v>
      </x:c>
      <x:c r="E271" s="11" t="n">
        <x:f>'Invoices'!E271</x:f>
        <x:v>5730.59</x:v>
      </x:c>
      <x:c r="F271" s="11" t="n">
        <x:f>SUMIFS('Payments'!$E$5:$E$429,'Payments'!$B$5:$B$429,A271,'Payments'!$D$5:$D$429,"&lt;="&amp;'Start Here'!$B$5)</x:f>
        <x:v>2005.71</x:v>
      </x:c>
      <x:c r="G271" s="11" t="n">
        <x:f>ROUND(E271-F271,2)</x:f>
        <x:v>3724.88</x:v>
      </x:c>
      <x:c r="H271" s="2" t="n">
        <x:f>IF(G271&gt;0,MAX(0,'Start Here'!$B$5-D271),0)</x:f>
        <x:v>120</x:v>
      </x:c>
      <x:c r="I271" s="2" t="str">
        <x:f>IF(G271=0,"Paid",IF(H271=0,"Current",IF(H271&lt;=30,"1-30",IF(H271&lt;=60,"31-60",IF(H271&lt;=90,"61-90","91+")))))</x:f>
        <x:v>91+</x:v>
      </x:c>
      <x:c r="J271" s="2" t="n">
        <x:f>IF(G271=0,0,IF(H271=0,1,IF(H271&lt;=30,2,IF(H271&lt;=60,3,IF(H271&lt;=90,4,5)))))</x:f>
        <x:v>5</x:v>
      </x:c>
      <x:c r="K271" s="2" t="str">
        <x:f>'Invoices'!F271</x:f>
        <x:v>Yes</x:v>
      </x:c>
      <x:c r="L271" s="10" t="n">
        <x:f>'Start Here'!$B$5</x:f>
        <x:v>46295</x:v>
      </x:c>
    </x:row>
    <x:row r="272" ht="23" customHeight="1">
      <x:c r="A272" s="2" t="str">
        <x:f>'Invoices'!A272</x:f>
        <x:v>INV00268</x:v>
      </x:c>
      <x:c r="B272" s="2" t="str">
        <x:f>'Invoices'!B272</x:f>
        <x:v>C033</x:v>
      </x:c>
      <x:c r="C272" s="10" t="n">
        <x:f>'Invoices'!C272</x:f>
        <x:v>46088</x:v>
      </x:c>
      <x:c r="D272" s="10" t="n">
        <x:f>'Invoices'!D272</x:f>
        <x:v>46148</x:v>
      </x:c>
      <x:c r="E272" s="11" t="n">
        <x:f>'Invoices'!E272</x:f>
        <x:v>15108.6</x:v>
      </x:c>
      <x:c r="F272" s="11" t="n">
        <x:f>SUMIFS('Payments'!$E$5:$E$429,'Payments'!$B$5:$B$429,A272,'Payments'!$D$5:$D$429,"&lt;="&amp;'Start Here'!$B$5)</x:f>
        <x:v>15108.6</x:v>
      </x:c>
      <x:c r="G272" s="11" t="n">
        <x:f>ROUND(E272-F272,2)</x:f>
        <x:v>0</x:v>
      </x:c>
      <x:c r="H272" s="2" t="n">
        <x:f>IF(G272&gt;0,MAX(0,'Start Here'!$B$5-D272),0)</x:f>
        <x:v>0</x:v>
      </x:c>
      <x:c r="I272" s="2" t="str">
        <x:f>IF(G272=0,"Paid",IF(H272=0,"Current",IF(H272&lt;=30,"1-30",IF(H272&lt;=60,"31-60",IF(H272&lt;=90,"61-90","91+")))))</x:f>
        <x:v>Paid</x:v>
      </x:c>
      <x:c r="J272" s="2" t="n">
        <x:f>IF(G272=0,0,IF(H272=0,1,IF(H272&lt;=30,2,IF(H272&lt;=60,3,IF(H272&lt;=90,4,5)))))</x:f>
        <x:v>0</x:v>
      </x:c>
      <x:c r="K272" s="2" t="str">
        <x:f>'Invoices'!F272</x:f>
        <x:v>No</x:v>
      </x:c>
      <x:c r="L272" s="10" t="n">
        <x:f>'Start Here'!$B$5</x:f>
        <x:v>46295</x:v>
      </x:c>
    </x:row>
    <x:row r="273" ht="23" customHeight="1">
      <x:c r="A273" s="2" t="str">
        <x:f>'Invoices'!A273</x:f>
        <x:v>INV00269</x:v>
      </x:c>
      <x:c r="B273" s="2" t="str">
        <x:f>'Invoices'!B273</x:f>
        <x:v>C022</x:v>
      </x:c>
      <x:c r="C273" s="10" t="n">
        <x:f>'Invoices'!C273</x:f>
        <x:v>46131</x:v>
      </x:c>
      <x:c r="D273" s="10" t="n">
        <x:f>'Invoices'!D273</x:f>
        <x:v>46161</x:v>
      </x:c>
      <x:c r="E273" s="11" t="n">
        <x:f>'Invoices'!E273</x:f>
        <x:v>14980.02</x:v>
      </x:c>
      <x:c r="F273" s="11" t="n">
        <x:f>SUMIFS('Payments'!$E$5:$E$429,'Payments'!$B$5:$B$429,A273,'Payments'!$D$5:$D$429,"&lt;="&amp;'Start Here'!$B$5)</x:f>
        <x:v>14980.02</x:v>
      </x:c>
      <x:c r="G273" s="11" t="n">
        <x:f>ROUND(E273-F273,2)</x:f>
        <x:v>0</x:v>
      </x:c>
      <x:c r="H273" s="2" t="n">
        <x:f>IF(G273&gt;0,MAX(0,'Start Here'!$B$5-D273),0)</x:f>
        <x:v>0</x:v>
      </x:c>
      <x:c r="I273" s="2" t="str">
        <x:f>IF(G273=0,"Paid",IF(H273=0,"Current",IF(H273&lt;=30,"1-30",IF(H273&lt;=60,"31-60",IF(H273&lt;=90,"61-90","91+")))))</x:f>
        <x:v>Paid</x:v>
      </x:c>
      <x:c r="J273" s="2" t="n">
        <x:f>IF(G273=0,0,IF(H273=0,1,IF(H273&lt;=30,2,IF(H273&lt;=60,3,IF(H273&lt;=90,4,5)))))</x:f>
        <x:v>0</x:v>
      </x:c>
      <x:c r="K273" s="2" t="str">
        <x:f>'Invoices'!F273</x:f>
        <x:v>No</x:v>
      </x:c>
      <x:c r="L273" s="10" t="n">
        <x:f>'Start Here'!$B$5</x:f>
        <x:v>46295</x:v>
      </x:c>
    </x:row>
    <x:row r="274" ht="23" customHeight="1">
      <x:c r="A274" s="2" t="str">
        <x:f>'Invoices'!A274</x:f>
        <x:v>INV00270</x:v>
      </x:c>
      <x:c r="B274" s="2" t="str">
        <x:f>'Invoices'!B274</x:f>
        <x:v>C022</x:v>
      </x:c>
      <x:c r="C274" s="10" t="n">
        <x:f>'Invoices'!C274</x:f>
        <x:v>46199</x:v>
      </x:c>
      <x:c r="D274" s="10" t="n">
        <x:f>'Invoices'!D274</x:f>
        <x:v>46229</x:v>
      </x:c>
      <x:c r="E274" s="11" t="n">
        <x:f>'Invoices'!E274</x:f>
        <x:v>16514.44</x:v>
      </x:c>
      <x:c r="F274" s="11" t="n">
        <x:f>SUMIFS('Payments'!$E$5:$E$429,'Payments'!$B$5:$B$429,A274,'Payments'!$D$5:$D$429,"&lt;="&amp;'Start Here'!$B$5)</x:f>
        <x:v>16514.44</x:v>
      </x:c>
      <x:c r="G274" s="11" t="n">
        <x:f>ROUND(E274-F274,2)</x:f>
        <x:v>0</x:v>
      </x:c>
      <x:c r="H274" s="2" t="n">
        <x:f>IF(G274&gt;0,MAX(0,'Start Here'!$B$5-D274),0)</x:f>
        <x:v>0</x:v>
      </x:c>
      <x:c r="I274" s="2" t="str">
        <x:f>IF(G274=0,"Paid",IF(H274=0,"Current",IF(H274&lt;=30,"1-30",IF(H274&lt;=60,"31-60",IF(H274&lt;=90,"61-90","91+")))))</x:f>
        <x:v>Paid</x:v>
      </x:c>
      <x:c r="J274" s="2" t="n">
        <x:f>IF(G274=0,0,IF(H274=0,1,IF(H274&lt;=30,2,IF(H274&lt;=60,3,IF(H274&lt;=90,4,5)))))</x:f>
        <x:v>0</x:v>
      </x:c>
      <x:c r="K274" s="2" t="str">
        <x:f>'Invoices'!F274</x:f>
        <x:v>No</x:v>
      </x:c>
      <x:c r="L274" s="10" t="n">
        <x:f>'Start Here'!$B$5</x:f>
        <x:v>46295</x:v>
      </x:c>
    </x:row>
    <x:row r="275" ht="23" customHeight="1">
      <x:c r="A275" s="2" t="str">
        <x:f>'Invoices'!A275</x:f>
        <x:v>INV00271</x:v>
      </x:c>
      <x:c r="B275" s="2" t="str">
        <x:f>'Invoices'!B275</x:f>
        <x:v>C021</x:v>
      </x:c>
      <x:c r="C275" s="10" t="n">
        <x:f>'Invoices'!C275</x:f>
        <x:v>46133</x:v>
      </x:c>
      <x:c r="D275" s="10" t="n">
        <x:f>'Invoices'!D275</x:f>
        <x:v>46163</x:v>
      </x:c>
      <x:c r="E275" s="11" t="n">
        <x:f>'Invoices'!E275</x:f>
        <x:v>3201</x:v>
      </x:c>
      <x:c r="F275" s="11" t="n">
        <x:f>SUMIFS('Payments'!$E$5:$E$429,'Payments'!$B$5:$B$429,A275,'Payments'!$D$5:$D$429,"&lt;="&amp;'Start Here'!$B$5)</x:f>
        <x:v>3201</x:v>
      </x:c>
      <x:c r="G275" s="11" t="n">
        <x:f>ROUND(E275-F275,2)</x:f>
        <x:v>0</x:v>
      </x:c>
      <x:c r="H275" s="2" t="n">
        <x:f>IF(G275&gt;0,MAX(0,'Start Here'!$B$5-D275),0)</x:f>
        <x:v>0</x:v>
      </x:c>
      <x:c r="I275" s="2" t="str">
        <x:f>IF(G275=0,"Paid",IF(H275=0,"Current",IF(H275&lt;=30,"1-30",IF(H275&lt;=60,"31-60",IF(H275&lt;=90,"61-90","91+")))))</x:f>
        <x:v>Paid</x:v>
      </x:c>
      <x:c r="J275" s="2" t="n">
        <x:f>IF(G275=0,0,IF(H275=0,1,IF(H275&lt;=30,2,IF(H275&lt;=60,3,IF(H275&lt;=90,4,5)))))</x:f>
        <x:v>0</x:v>
      </x:c>
      <x:c r="K275" s="2" t="str">
        <x:f>'Invoices'!F275</x:f>
        <x:v>No</x:v>
      </x:c>
      <x:c r="L275" s="10" t="n">
        <x:f>'Start Here'!$B$5</x:f>
        <x:v>46295</x:v>
      </x:c>
    </x:row>
    <x:row r="276" ht="23" customHeight="1">
      <x:c r="A276" s="2" t="str">
        <x:f>'Invoices'!A276</x:f>
        <x:v>INV00272</x:v>
      </x:c>
      <x:c r="B276" s="2" t="str">
        <x:f>'Invoices'!B276</x:f>
        <x:v>C033</x:v>
      </x:c>
      <x:c r="C276" s="10" t="n">
        <x:f>'Invoices'!C276</x:f>
        <x:v>46127</x:v>
      </x:c>
      <x:c r="D276" s="10" t="n">
        <x:f>'Invoices'!D276</x:f>
        <x:v>46157</x:v>
      </x:c>
      <x:c r="E276" s="11" t="n">
        <x:f>'Invoices'!E276</x:f>
        <x:v>14191.01</x:v>
      </x:c>
      <x:c r="F276" s="11" t="n">
        <x:f>SUMIFS('Payments'!$E$5:$E$429,'Payments'!$B$5:$B$429,A276,'Payments'!$D$5:$D$429,"&lt;="&amp;'Start Here'!$B$5)</x:f>
        <x:v>14191.01</x:v>
      </x:c>
      <x:c r="G276" s="11" t="n">
        <x:f>ROUND(E276-F276,2)</x:f>
        <x:v>0</x:v>
      </x:c>
      <x:c r="H276" s="2" t="n">
        <x:f>IF(G276&gt;0,MAX(0,'Start Here'!$B$5-D276),0)</x:f>
        <x:v>0</x:v>
      </x:c>
      <x:c r="I276" s="2" t="str">
        <x:f>IF(G276=0,"Paid",IF(H276=0,"Current",IF(H276&lt;=30,"1-30",IF(H276&lt;=60,"31-60",IF(H276&lt;=90,"61-90","91+")))))</x:f>
        <x:v>Paid</x:v>
      </x:c>
      <x:c r="J276" s="2" t="n">
        <x:f>IF(G276=0,0,IF(H276=0,1,IF(H276&lt;=30,2,IF(H276&lt;=60,3,IF(H276&lt;=90,4,5)))))</x:f>
        <x:v>0</x:v>
      </x:c>
      <x:c r="K276" s="2" t="str">
        <x:f>'Invoices'!F276</x:f>
        <x:v>No</x:v>
      </x:c>
      <x:c r="L276" s="10" t="n">
        <x:f>'Start Here'!$B$5</x:f>
        <x:v>46295</x:v>
      </x:c>
    </x:row>
    <x:row r="277" ht="23" customHeight="1">
      <x:c r="A277" s="2" t="str">
        <x:f>'Invoices'!A277</x:f>
        <x:v>INV00273</x:v>
      </x:c>
      <x:c r="B277" s="2" t="str">
        <x:f>'Invoices'!B277</x:f>
        <x:v>C037</x:v>
      </x:c>
      <x:c r="C277" s="10" t="n">
        <x:f>'Invoices'!C277</x:f>
        <x:v>46170</x:v>
      </x:c>
      <x:c r="D277" s="10" t="n">
        <x:f>'Invoices'!D277</x:f>
        <x:v>46215</x:v>
      </x:c>
      <x:c r="E277" s="11" t="n">
        <x:f>'Invoices'!E277</x:f>
        <x:v>2383.23</x:v>
      </x:c>
      <x:c r="F277" s="11" t="n">
        <x:f>SUMIFS('Payments'!$E$5:$E$429,'Payments'!$B$5:$B$429,A277,'Payments'!$D$5:$D$429,"&lt;="&amp;'Start Here'!$B$5)</x:f>
        <x:v>2383.23</x:v>
      </x:c>
      <x:c r="G277" s="11" t="n">
        <x:f>ROUND(E277-F277,2)</x:f>
        <x:v>0</x:v>
      </x:c>
      <x:c r="H277" s="2" t="n">
        <x:f>IF(G277&gt;0,MAX(0,'Start Here'!$B$5-D277),0)</x:f>
        <x:v>0</x:v>
      </x:c>
      <x:c r="I277" s="2" t="str">
        <x:f>IF(G277=0,"Paid",IF(H277=0,"Current",IF(H277&lt;=30,"1-30",IF(H277&lt;=60,"31-60",IF(H277&lt;=90,"61-90","91+")))))</x:f>
        <x:v>Paid</x:v>
      </x:c>
      <x:c r="J277" s="2" t="n">
        <x:f>IF(G277=0,0,IF(H277=0,1,IF(H277&lt;=30,2,IF(H277&lt;=60,3,IF(H277&lt;=90,4,5)))))</x:f>
        <x:v>0</x:v>
      </x:c>
      <x:c r="K277" s="2" t="str">
        <x:f>'Invoices'!F277</x:f>
        <x:v>No</x:v>
      </x:c>
      <x:c r="L277" s="10" t="n">
        <x:f>'Start Here'!$B$5</x:f>
        <x:v>46295</x:v>
      </x:c>
    </x:row>
    <x:row r="278" ht="23" customHeight="1">
      <x:c r="A278" s="2" t="str">
        <x:f>'Invoices'!A278</x:f>
        <x:v>INV00274</x:v>
      </x:c>
      <x:c r="B278" s="2" t="str">
        <x:f>'Invoices'!B278</x:f>
        <x:v>C032</x:v>
      </x:c>
      <x:c r="C278" s="10" t="n">
        <x:f>'Invoices'!C278</x:f>
        <x:v>46060</x:v>
      </x:c>
      <x:c r="D278" s="10" t="n">
        <x:f>'Invoices'!D278</x:f>
        <x:v>46090</x:v>
      </x:c>
      <x:c r="E278" s="11" t="n">
        <x:f>'Invoices'!E278</x:f>
        <x:v>18275.53</x:v>
      </x:c>
      <x:c r="F278" s="11" t="n">
        <x:f>SUMIFS('Payments'!$E$5:$E$429,'Payments'!$B$5:$B$429,A278,'Payments'!$D$5:$D$429,"&lt;="&amp;'Start Here'!$B$5)</x:f>
        <x:v>18275.53</x:v>
      </x:c>
      <x:c r="G278" s="11" t="n">
        <x:f>ROUND(E278-F278,2)</x:f>
        <x:v>0</x:v>
      </x:c>
      <x:c r="H278" s="2" t="n">
        <x:f>IF(G278&gt;0,MAX(0,'Start Here'!$B$5-D278),0)</x:f>
        <x:v>0</x:v>
      </x:c>
      <x:c r="I278" s="2" t="str">
        <x:f>IF(G278=0,"Paid",IF(H278=0,"Current",IF(H278&lt;=30,"1-30",IF(H278&lt;=60,"31-60",IF(H278&lt;=90,"61-90","91+")))))</x:f>
        <x:v>Paid</x:v>
      </x:c>
      <x:c r="J278" s="2" t="n">
        <x:f>IF(G278=0,0,IF(H278=0,1,IF(H278&lt;=30,2,IF(H278&lt;=60,3,IF(H278&lt;=90,4,5)))))</x:f>
        <x:v>0</x:v>
      </x:c>
      <x:c r="K278" s="2" t="str">
        <x:f>'Invoices'!F278</x:f>
        <x:v>No</x:v>
      </x:c>
      <x:c r="L278" s="10" t="n">
        <x:f>'Start Here'!$B$5</x:f>
        <x:v>46295</x:v>
      </x:c>
    </x:row>
    <x:row r="279" ht="23" customHeight="1">
      <x:c r="A279" s="2" t="str">
        <x:f>'Invoices'!A279</x:f>
        <x:v>INV00275</x:v>
      </x:c>
      <x:c r="B279" s="2" t="str">
        <x:f>'Invoices'!B279</x:f>
        <x:v>C033</x:v>
      </x:c>
      <x:c r="C279" s="10" t="n">
        <x:f>'Invoices'!C279</x:f>
        <x:v>46121</x:v>
      </x:c>
      <x:c r="D279" s="10" t="n">
        <x:f>'Invoices'!D279</x:f>
        <x:v>46181</x:v>
      </x:c>
      <x:c r="E279" s="11" t="n">
        <x:f>'Invoices'!E279</x:f>
        <x:v>15370.18</x:v>
      </x:c>
      <x:c r="F279" s="11" t="n">
        <x:f>SUMIFS('Payments'!$E$5:$E$429,'Payments'!$B$5:$B$429,A279,'Payments'!$D$5:$D$429,"&lt;="&amp;'Start Here'!$B$5)</x:f>
        <x:v>15370.18</x:v>
      </x:c>
      <x:c r="G279" s="11" t="n">
        <x:f>ROUND(E279-F279,2)</x:f>
        <x:v>0</x:v>
      </x:c>
      <x:c r="H279" s="2" t="n">
        <x:f>IF(G279&gt;0,MAX(0,'Start Here'!$B$5-D279),0)</x:f>
        <x:v>0</x:v>
      </x:c>
      <x:c r="I279" s="2" t="str">
        <x:f>IF(G279=0,"Paid",IF(H279=0,"Current",IF(H279&lt;=30,"1-30",IF(H279&lt;=60,"31-60",IF(H279&lt;=90,"61-90","91+")))))</x:f>
        <x:v>Paid</x:v>
      </x:c>
      <x:c r="J279" s="2" t="n">
        <x:f>IF(G279=0,0,IF(H279=0,1,IF(H279&lt;=30,2,IF(H279&lt;=60,3,IF(H279&lt;=90,4,5)))))</x:f>
        <x:v>0</x:v>
      </x:c>
      <x:c r="K279" s="2" t="str">
        <x:f>'Invoices'!F279</x:f>
        <x:v>No</x:v>
      </x:c>
      <x:c r="L279" s="10" t="n">
        <x:f>'Start Here'!$B$5</x:f>
        <x:v>46295</x:v>
      </x:c>
    </x:row>
    <x:row r="280" ht="23" customHeight="1">
      <x:c r="A280" s="2" t="str">
        <x:f>'Invoices'!A280</x:f>
        <x:v>INV00276</x:v>
      </x:c>
      <x:c r="B280" s="2" t="str">
        <x:f>'Invoices'!B280</x:f>
        <x:v>C020</x:v>
      </x:c>
      <x:c r="C280" s="10" t="n">
        <x:f>'Invoices'!C280</x:f>
        <x:v>46225</x:v>
      </x:c>
      <x:c r="D280" s="10" t="n">
        <x:f>'Invoices'!D280</x:f>
        <x:v>46255</x:v>
      </x:c>
      <x:c r="E280" s="11" t="n">
        <x:f>'Invoices'!E280</x:f>
        <x:v>11038.14</x:v>
      </x:c>
      <x:c r="F280" s="11" t="n">
        <x:f>SUMIFS('Payments'!$E$5:$E$429,'Payments'!$B$5:$B$429,A280,'Payments'!$D$5:$D$429,"&lt;="&amp;'Start Here'!$B$5)</x:f>
        <x:v>11038.14</x:v>
      </x:c>
      <x:c r="G280" s="11" t="n">
        <x:f>ROUND(E280-F280,2)</x:f>
        <x:v>0</x:v>
      </x:c>
      <x:c r="H280" s="2" t="n">
        <x:f>IF(G280&gt;0,MAX(0,'Start Here'!$B$5-D280),0)</x:f>
        <x:v>0</x:v>
      </x:c>
      <x:c r="I280" s="2" t="str">
        <x:f>IF(G280=0,"Paid",IF(H280=0,"Current",IF(H280&lt;=30,"1-30",IF(H280&lt;=60,"31-60",IF(H280&lt;=90,"61-90","91+")))))</x:f>
        <x:v>Paid</x:v>
      </x:c>
      <x:c r="J280" s="2" t="n">
        <x:f>IF(G280=0,0,IF(H280=0,1,IF(H280&lt;=30,2,IF(H280&lt;=60,3,IF(H280&lt;=90,4,5)))))</x:f>
        <x:v>0</x:v>
      </x:c>
      <x:c r="K280" s="2" t="str">
        <x:f>'Invoices'!F280</x:f>
        <x:v>No</x:v>
      </x:c>
      <x:c r="L280" s="10" t="n">
        <x:f>'Start Here'!$B$5</x:f>
        <x:v>46295</x:v>
      </x:c>
    </x:row>
    <x:row r="281" ht="23" customHeight="1">
      <x:c r="A281" s="2" t="str">
        <x:f>'Invoices'!A281</x:f>
        <x:v>INV00277</x:v>
      </x:c>
      <x:c r="B281" s="2" t="str">
        <x:f>'Invoices'!B281</x:f>
        <x:v>C020</x:v>
      </x:c>
      <x:c r="C281" s="10" t="n">
        <x:f>'Invoices'!C281</x:f>
        <x:v>46035</x:v>
      </x:c>
      <x:c r="D281" s="10" t="n">
        <x:f>'Invoices'!D281</x:f>
        <x:v>46065</x:v>
      </x:c>
      <x:c r="E281" s="11" t="n">
        <x:f>'Invoices'!E281</x:f>
        <x:v>12133.51</x:v>
      </x:c>
      <x:c r="F281" s="11" t="n">
        <x:f>SUMIFS('Payments'!$E$5:$E$429,'Payments'!$B$5:$B$429,A281,'Payments'!$D$5:$D$429,"&lt;="&amp;'Start Here'!$B$5)</x:f>
        <x:v>12133.51</x:v>
      </x:c>
      <x:c r="G281" s="11" t="n">
        <x:f>ROUND(E281-F281,2)</x:f>
        <x:v>0</x:v>
      </x:c>
      <x:c r="H281" s="2" t="n">
        <x:f>IF(G281&gt;0,MAX(0,'Start Here'!$B$5-D281),0)</x:f>
        <x:v>0</x:v>
      </x:c>
      <x:c r="I281" s="2" t="str">
        <x:f>IF(G281=0,"Paid",IF(H281=0,"Current",IF(H281&lt;=30,"1-30",IF(H281&lt;=60,"31-60",IF(H281&lt;=90,"61-90","91+")))))</x:f>
        <x:v>Paid</x:v>
      </x:c>
      <x:c r="J281" s="2" t="n">
        <x:f>IF(G281=0,0,IF(H281=0,1,IF(H281&lt;=30,2,IF(H281&lt;=60,3,IF(H281&lt;=90,4,5)))))</x:f>
        <x:v>0</x:v>
      </x:c>
      <x:c r="K281" s="2" t="str">
        <x:f>'Invoices'!F281</x:f>
        <x:v>No</x:v>
      </x:c>
      <x:c r="L281" s="10" t="n">
        <x:f>'Start Here'!$B$5</x:f>
        <x:v>46295</x:v>
      </x:c>
    </x:row>
    <x:row r="282" ht="23" customHeight="1">
      <x:c r="A282" s="2" t="str">
        <x:f>'Invoices'!A282</x:f>
        <x:v>INV00278</x:v>
      </x:c>
      <x:c r="B282" s="2" t="str">
        <x:f>'Invoices'!B282</x:f>
        <x:v>C039</x:v>
      </x:c>
      <x:c r="C282" s="10" t="n">
        <x:f>'Invoices'!C282</x:f>
        <x:v>46063</x:v>
      </x:c>
      <x:c r="D282" s="10" t="n">
        <x:f>'Invoices'!D282</x:f>
        <x:v>46093</x:v>
      </x:c>
      <x:c r="E282" s="11" t="n">
        <x:f>'Invoices'!E282</x:f>
        <x:v>6594.58</x:v>
      </x:c>
      <x:c r="F282" s="11" t="n">
        <x:f>SUMIFS('Payments'!$E$5:$E$429,'Payments'!$B$5:$B$429,A282,'Payments'!$D$5:$D$429,"&lt;="&amp;'Start Here'!$B$5)</x:f>
        <x:v>6594.58</x:v>
      </x:c>
      <x:c r="G282" s="11" t="n">
        <x:f>ROUND(E282-F282,2)</x:f>
        <x:v>0</x:v>
      </x:c>
      <x:c r="H282" s="2" t="n">
        <x:f>IF(G282&gt;0,MAX(0,'Start Here'!$B$5-D282),0)</x:f>
        <x:v>0</x:v>
      </x:c>
      <x:c r="I282" s="2" t="str">
        <x:f>IF(G282=0,"Paid",IF(H282=0,"Current",IF(H282&lt;=30,"1-30",IF(H282&lt;=60,"31-60",IF(H282&lt;=90,"61-90","91+")))))</x:f>
        <x:v>Paid</x:v>
      </x:c>
      <x:c r="J282" s="2" t="n">
        <x:f>IF(G282=0,0,IF(H282=0,1,IF(H282&lt;=30,2,IF(H282&lt;=60,3,IF(H282&lt;=90,4,5)))))</x:f>
        <x:v>0</x:v>
      </x:c>
      <x:c r="K282" s="2" t="str">
        <x:f>'Invoices'!F282</x:f>
        <x:v>No</x:v>
      </x:c>
      <x:c r="L282" s="10" t="n">
        <x:f>'Start Here'!$B$5</x:f>
        <x:v>46295</x:v>
      </x:c>
    </x:row>
    <x:row r="283" ht="23" customHeight="1">
      <x:c r="A283" s="2" t="str">
        <x:f>'Invoices'!A283</x:f>
        <x:v>INV00279</x:v>
      </x:c>
      <x:c r="B283" s="2" t="str">
        <x:f>'Invoices'!B283</x:f>
        <x:v>C031</x:v>
      </x:c>
      <x:c r="C283" s="10" t="n">
        <x:f>'Invoices'!C283</x:f>
        <x:v>46273</x:v>
      </x:c>
      <x:c r="D283" s="10" t="n">
        <x:f>'Invoices'!D283</x:f>
        <x:v>46303</x:v>
      </x:c>
      <x:c r="E283" s="11" t="n">
        <x:f>'Invoices'!E283</x:f>
        <x:v>7234.9</x:v>
      </x:c>
      <x:c r="F283" s="11" t="n">
        <x:f>SUMIFS('Payments'!$E$5:$E$429,'Payments'!$B$5:$B$429,A283,'Payments'!$D$5:$D$429,"&lt;="&amp;'Start Here'!$B$5)</x:f>
        <x:v>0</x:v>
      </x:c>
      <x:c r="G283" s="11" t="n">
        <x:f>ROUND(E283-F283,2)</x:f>
        <x:v>7234.9</x:v>
      </x:c>
      <x:c r="H283" s="2" t="n">
        <x:f>IF(G283&gt;0,MAX(0,'Start Here'!$B$5-D283),0)</x:f>
        <x:v>0</x:v>
      </x:c>
      <x:c r="I283" s="2" t="str">
        <x:f>IF(G283=0,"Paid",IF(H283=0,"Current",IF(H283&lt;=30,"1-30",IF(H283&lt;=60,"31-60",IF(H283&lt;=90,"61-90","91+")))))</x:f>
        <x:v>Current</x:v>
      </x:c>
      <x:c r="J283" s="2" t="n">
        <x:f>IF(G283=0,0,IF(H283=0,1,IF(H283&lt;=30,2,IF(H283&lt;=60,3,IF(H283&lt;=90,4,5)))))</x:f>
        <x:v>1</x:v>
      </x:c>
      <x:c r="K283" s="2" t="str">
        <x:f>'Invoices'!F283</x:f>
        <x:v>No</x:v>
      </x:c>
      <x:c r="L283" s="10" t="n">
        <x:f>'Start Here'!$B$5</x:f>
        <x:v>46295</x:v>
      </x:c>
    </x:row>
    <x:row r="284" ht="23" customHeight="1">
      <x:c r="A284" s="2" t="str">
        <x:f>'Invoices'!A284</x:f>
        <x:v>INV00280</x:v>
      </x:c>
      <x:c r="B284" s="2" t="str">
        <x:f>'Invoices'!B284</x:f>
        <x:v>C002</x:v>
      </x:c>
      <x:c r="C284" s="10" t="n">
        <x:f>'Invoices'!C284</x:f>
        <x:v>46155</x:v>
      </x:c>
      <x:c r="D284" s="10" t="n">
        <x:f>'Invoices'!D284</x:f>
        <x:v>46185</x:v>
      </x:c>
      <x:c r="E284" s="11" t="n">
        <x:f>'Invoices'!E284</x:f>
        <x:v>13504.9</x:v>
      </x:c>
      <x:c r="F284" s="11" t="n">
        <x:f>SUMIFS('Payments'!$E$5:$E$429,'Payments'!$B$5:$B$429,A284,'Payments'!$D$5:$D$429,"&lt;="&amp;'Start Here'!$B$5)</x:f>
        <x:v>13504.9</x:v>
      </x:c>
      <x:c r="G284" s="11" t="n">
        <x:f>ROUND(E284-F284,2)</x:f>
        <x:v>0</x:v>
      </x:c>
      <x:c r="H284" s="2" t="n">
        <x:f>IF(G284&gt;0,MAX(0,'Start Here'!$B$5-D284),0)</x:f>
        <x:v>0</x:v>
      </x:c>
      <x:c r="I284" s="2" t="str">
        <x:f>IF(G284=0,"Paid",IF(H284=0,"Current",IF(H284&lt;=30,"1-30",IF(H284&lt;=60,"31-60",IF(H284&lt;=90,"61-90","91+")))))</x:f>
        <x:v>Paid</x:v>
      </x:c>
      <x:c r="J284" s="2" t="n">
        <x:f>IF(G284=0,0,IF(H284=0,1,IF(H284&lt;=30,2,IF(H284&lt;=60,3,IF(H284&lt;=90,4,5)))))</x:f>
        <x:v>0</x:v>
      </x:c>
      <x:c r="K284" s="2" t="str">
        <x:f>'Invoices'!F284</x:f>
        <x:v>No</x:v>
      </x:c>
      <x:c r="L284" s="10" t="n">
        <x:f>'Start Here'!$B$5</x:f>
        <x:v>46295</x:v>
      </x:c>
    </x:row>
    <x:row r="285" ht="23" customHeight="1">
      <x:c r="A285" s="2" t="str">
        <x:f>'Invoices'!A285</x:f>
        <x:v>INV00281</x:v>
      </x:c>
      <x:c r="B285" s="2" t="str">
        <x:f>'Invoices'!B285</x:f>
        <x:v>C025</x:v>
      </x:c>
      <x:c r="C285" s="10" t="n">
        <x:f>'Invoices'!C285</x:f>
        <x:v>46177</x:v>
      </x:c>
      <x:c r="D285" s="10" t="n">
        <x:f>'Invoices'!D285</x:f>
        <x:v>46222</x:v>
      </x:c>
      <x:c r="E285" s="11" t="n">
        <x:f>'Invoices'!E285</x:f>
        <x:v>5397.64</x:v>
      </x:c>
      <x:c r="F285" s="11" t="n">
        <x:f>SUMIFS('Payments'!$E$5:$E$429,'Payments'!$B$5:$B$429,A285,'Payments'!$D$5:$D$429,"&lt;="&amp;'Start Here'!$B$5)</x:f>
        <x:v>0</x:v>
      </x:c>
      <x:c r="G285" s="11" t="n">
        <x:f>ROUND(E285-F285,2)</x:f>
        <x:v>5397.64</x:v>
      </x:c>
      <x:c r="H285" s="2" t="n">
        <x:f>IF(G285&gt;0,MAX(0,'Start Here'!$B$5-D285),0)</x:f>
        <x:v>73</x:v>
      </x:c>
      <x:c r="I285" s="2" t="str">
        <x:f>IF(G285=0,"Paid",IF(H285=0,"Current",IF(H285&lt;=30,"1-30",IF(H285&lt;=60,"31-60",IF(H285&lt;=90,"61-90","91+")))))</x:f>
        <x:v>61-90</x:v>
      </x:c>
      <x:c r="J285" s="2" t="n">
        <x:f>IF(G285=0,0,IF(H285=0,1,IF(H285&lt;=30,2,IF(H285&lt;=60,3,IF(H285&lt;=90,4,5)))))</x:f>
        <x:v>4</x:v>
      </x:c>
      <x:c r="K285" s="2" t="str">
        <x:f>'Invoices'!F285</x:f>
        <x:v>No</x:v>
      </x:c>
      <x:c r="L285" s="10" t="n">
        <x:f>'Start Here'!$B$5</x:f>
        <x:v>46295</x:v>
      </x:c>
    </x:row>
    <x:row r="286" ht="23" customHeight="1">
      <x:c r="A286" s="2" t="str">
        <x:f>'Invoices'!A286</x:f>
        <x:v>INV00282</x:v>
      </x:c>
      <x:c r="B286" s="2" t="str">
        <x:f>'Invoices'!B286</x:f>
        <x:v>C031</x:v>
      </x:c>
      <x:c r="C286" s="10" t="n">
        <x:f>'Invoices'!C286</x:f>
        <x:v>46135</x:v>
      </x:c>
      <x:c r="D286" s="10" t="n">
        <x:f>'Invoices'!D286</x:f>
        <x:v>46165</x:v>
      </x:c>
      <x:c r="E286" s="11" t="n">
        <x:f>'Invoices'!E286</x:f>
        <x:v>1830.91</x:v>
      </x:c>
      <x:c r="F286" s="11" t="n">
        <x:f>SUMIFS('Payments'!$E$5:$E$429,'Payments'!$B$5:$B$429,A286,'Payments'!$D$5:$D$429,"&lt;="&amp;'Start Here'!$B$5)</x:f>
        <x:v>1830.91</x:v>
      </x:c>
      <x:c r="G286" s="11" t="n">
        <x:f>ROUND(E286-F286,2)</x:f>
        <x:v>0</x:v>
      </x:c>
      <x:c r="H286" s="2" t="n">
        <x:f>IF(G286&gt;0,MAX(0,'Start Here'!$B$5-D286),0)</x:f>
        <x:v>0</x:v>
      </x:c>
      <x:c r="I286" s="2" t="str">
        <x:f>IF(G286=0,"Paid",IF(H286=0,"Current",IF(H286&lt;=30,"1-30",IF(H286&lt;=60,"31-60",IF(H286&lt;=90,"61-90","91+")))))</x:f>
        <x:v>Paid</x:v>
      </x:c>
      <x:c r="J286" s="2" t="n">
        <x:f>IF(G286=0,0,IF(H286=0,1,IF(H286&lt;=30,2,IF(H286&lt;=60,3,IF(H286&lt;=90,4,5)))))</x:f>
        <x:v>0</x:v>
      </x:c>
      <x:c r="K286" s="2" t="str">
        <x:f>'Invoices'!F286</x:f>
        <x:v>No</x:v>
      </x:c>
      <x:c r="L286" s="10" t="n">
        <x:f>'Start Here'!$B$5</x:f>
        <x:v>46295</x:v>
      </x:c>
    </x:row>
    <x:row r="287" ht="23" customHeight="1">
      <x:c r="A287" s="2" t="str">
        <x:f>'Invoices'!A287</x:f>
        <x:v>INV00283</x:v>
      </x:c>
      <x:c r="B287" s="2" t="str">
        <x:f>'Invoices'!B287</x:f>
        <x:v>C037</x:v>
      </x:c>
      <x:c r="C287" s="10" t="n">
        <x:f>'Invoices'!C287</x:f>
        <x:v>46153</x:v>
      </x:c>
      <x:c r="D287" s="10" t="n">
        <x:f>'Invoices'!D287</x:f>
        <x:v>46183</x:v>
      </x:c>
      <x:c r="E287" s="11" t="n">
        <x:f>'Invoices'!E287</x:f>
        <x:v>7710.23</x:v>
      </x:c>
      <x:c r="F287" s="11" t="n">
        <x:f>SUMIFS('Payments'!$E$5:$E$429,'Payments'!$B$5:$B$429,A287,'Payments'!$D$5:$D$429,"&lt;="&amp;'Start Here'!$B$5)</x:f>
        <x:v>0</x:v>
      </x:c>
      <x:c r="G287" s="11" t="n">
        <x:f>ROUND(E287-F287,2)</x:f>
        <x:v>7710.23</x:v>
      </x:c>
      <x:c r="H287" s="2" t="n">
        <x:f>IF(G287&gt;0,MAX(0,'Start Here'!$B$5-D287),0)</x:f>
        <x:v>112</x:v>
      </x:c>
      <x:c r="I287" s="2" t="str">
        <x:f>IF(G287=0,"Paid",IF(H287=0,"Current",IF(H287&lt;=30,"1-30",IF(H287&lt;=60,"31-60",IF(H287&lt;=90,"61-90","91+")))))</x:f>
        <x:v>91+</x:v>
      </x:c>
      <x:c r="J287" s="2" t="n">
        <x:f>IF(G287=0,0,IF(H287=0,1,IF(H287&lt;=30,2,IF(H287&lt;=60,3,IF(H287&lt;=90,4,5)))))</x:f>
        <x:v>5</x:v>
      </x:c>
      <x:c r="K287" s="2" t="str">
        <x:f>'Invoices'!F287</x:f>
        <x:v>Yes</x:v>
      </x:c>
      <x:c r="L287" s="10" t="n">
        <x:f>'Start Here'!$B$5</x:f>
        <x:v>46295</x:v>
      </x:c>
    </x:row>
    <x:row r="288" ht="23" customHeight="1">
      <x:c r="A288" s="2" t="str">
        <x:f>'Invoices'!A288</x:f>
        <x:v>INV00284</x:v>
      </x:c>
      <x:c r="B288" s="2" t="str">
        <x:f>'Invoices'!B288</x:f>
        <x:v>C013</x:v>
      </x:c>
      <x:c r="C288" s="10" t="n">
        <x:f>'Invoices'!C288</x:f>
        <x:v>46191</x:v>
      </x:c>
      <x:c r="D288" s="10" t="n">
        <x:f>'Invoices'!D288</x:f>
        <x:v>46221</x:v>
      </x:c>
      <x:c r="E288" s="11" t="n">
        <x:f>'Invoices'!E288</x:f>
        <x:v>19799.01</x:v>
      </x:c>
      <x:c r="F288" s="11" t="n">
        <x:f>SUMIFS('Payments'!$E$5:$E$429,'Payments'!$B$5:$B$429,A288,'Payments'!$D$5:$D$429,"&lt;="&amp;'Start Here'!$B$5)</x:f>
        <x:v>19799.01</x:v>
      </x:c>
      <x:c r="G288" s="11" t="n">
        <x:f>ROUND(E288-F288,2)</x:f>
        <x:v>0</x:v>
      </x:c>
      <x:c r="H288" s="2" t="n">
        <x:f>IF(G288&gt;0,MAX(0,'Start Here'!$B$5-D288),0)</x:f>
        <x:v>0</x:v>
      </x:c>
      <x:c r="I288" s="2" t="str">
        <x:f>IF(G288=0,"Paid",IF(H288=0,"Current",IF(H288&lt;=30,"1-30",IF(H288&lt;=60,"31-60",IF(H288&lt;=90,"61-90","91+")))))</x:f>
        <x:v>Paid</x:v>
      </x:c>
      <x:c r="J288" s="2" t="n">
        <x:f>IF(G288=0,0,IF(H288=0,1,IF(H288&lt;=30,2,IF(H288&lt;=60,3,IF(H288&lt;=90,4,5)))))</x:f>
        <x:v>0</x:v>
      </x:c>
      <x:c r="K288" s="2" t="str">
        <x:f>'Invoices'!F288</x:f>
        <x:v>No</x:v>
      </x:c>
      <x:c r="L288" s="10" t="n">
        <x:f>'Start Here'!$B$5</x:f>
        <x:v>46295</x:v>
      </x:c>
    </x:row>
    <x:row r="289" ht="23" customHeight="1">
      <x:c r="A289" s="2" t="str">
        <x:f>'Invoices'!A289</x:f>
        <x:v>INV00285</x:v>
      </x:c>
      <x:c r="B289" s="2" t="str">
        <x:f>'Invoices'!B289</x:f>
        <x:v>C003</x:v>
      </x:c>
      <x:c r="C289" s="10" t="n">
        <x:f>'Invoices'!C289</x:f>
        <x:v>46248</x:v>
      </x:c>
      <x:c r="D289" s="10" t="n">
        <x:f>'Invoices'!D289</x:f>
        <x:v>46293</x:v>
      </x:c>
      <x:c r="E289" s="11" t="n">
        <x:f>'Invoices'!E289</x:f>
        <x:v>2417</x:v>
      </x:c>
      <x:c r="F289" s="11" t="n">
        <x:f>SUMIFS('Payments'!$E$5:$E$429,'Payments'!$B$5:$B$429,A289,'Payments'!$D$5:$D$429,"&lt;="&amp;'Start Here'!$B$5)</x:f>
        <x:v>0</x:v>
      </x:c>
      <x:c r="G289" s="11" t="n">
        <x:f>ROUND(E289-F289,2)</x:f>
        <x:v>2417</x:v>
      </x:c>
      <x:c r="H289" s="2" t="n">
        <x:f>IF(G289&gt;0,MAX(0,'Start Here'!$B$5-D289),0)</x:f>
        <x:v>2</x:v>
      </x:c>
      <x:c r="I289" s="2" t="str">
        <x:f>IF(G289=0,"Paid",IF(H289=0,"Current",IF(H289&lt;=30,"1-30",IF(H289&lt;=60,"31-60",IF(H289&lt;=90,"61-90","91+")))))</x:f>
        <x:v>1-30</x:v>
      </x:c>
      <x:c r="J289" s="2" t="n">
        <x:f>IF(G289=0,0,IF(H289=0,1,IF(H289&lt;=30,2,IF(H289&lt;=60,3,IF(H289&lt;=90,4,5)))))</x:f>
        <x:v>2</x:v>
      </x:c>
      <x:c r="K289" s="2" t="str">
        <x:f>'Invoices'!F289</x:f>
        <x:v>No</x:v>
      </x:c>
      <x:c r="L289" s="10" t="n">
        <x:f>'Start Here'!$B$5</x:f>
        <x:v>46295</x:v>
      </x:c>
    </x:row>
    <x:row r="290" ht="23" customHeight="1">
      <x:c r="A290" s="2" t="str">
        <x:f>'Invoices'!A290</x:f>
        <x:v>INV00286</x:v>
      </x:c>
      <x:c r="B290" s="2" t="str">
        <x:f>'Invoices'!B290</x:f>
        <x:v>C013</x:v>
      </x:c>
      <x:c r="C290" s="10" t="n">
        <x:f>'Invoices'!C290</x:f>
        <x:v>46271</x:v>
      </x:c>
      <x:c r="D290" s="10" t="n">
        <x:f>'Invoices'!D290</x:f>
        <x:v>46331</x:v>
      </x:c>
      <x:c r="E290" s="11" t="n">
        <x:f>'Invoices'!E290</x:f>
        <x:v>7695.78</x:v>
      </x:c>
      <x:c r="F290" s="11" t="n">
        <x:f>SUMIFS('Payments'!$E$5:$E$429,'Payments'!$B$5:$B$429,A290,'Payments'!$D$5:$D$429,"&lt;="&amp;'Start Here'!$B$5)</x:f>
        <x:v>0</x:v>
      </x:c>
      <x:c r="G290" s="11" t="n">
        <x:f>ROUND(E290-F290,2)</x:f>
        <x:v>7695.78</x:v>
      </x:c>
      <x:c r="H290" s="2" t="n">
        <x:f>IF(G290&gt;0,MAX(0,'Start Here'!$B$5-D290),0)</x:f>
        <x:v>0</x:v>
      </x:c>
      <x:c r="I290" s="2" t="str">
        <x:f>IF(G290=0,"Paid",IF(H290=0,"Current",IF(H290&lt;=30,"1-30",IF(H290&lt;=60,"31-60",IF(H290&lt;=90,"61-90","91+")))))</x:f>
        <x:v>Current</x:v>
      </x:c>
      <x:c r="J290" s="2" t="n">
        <x:f>IF(G290=0,0,IF(H290=0,1,IF(H290&lt;=30,2,IF(H290&lt;=60,3,IF(H290&lt;=90,4,5)))))</x:f>
        <x:v>1</x:v>
      </x:c>
      <x:c r="K290" s="2" t="str">
        <x:f>'Invoices'!F290</x:f>
        <x:v>No</x:v>
      </x:c>
      <x:c r="L290" s="10" t="n">
        <x:f>'Start Here'!$B$5</x:f>
        <x:v>46295</x:v>
      </x:c>
    </x:row>
    <x:row r="291" ht="23" customHeight="1">
      <x:c r="A291" s="2" t="str">
        <x:f>'Invoices'!A291</x:f>
        <x:v>INV00287</x:v>
      </x:c>
      <x:c r="B291" s="2" t="str">
        <x:f>'Invoices'!B291</x:f>
        <x:v>C017</x:v>
      </x:c>
      <x:c r="C291" s="10" t="n">
        <x:f>'Invoices'!C291</x:f>
        <x:v>46105</x:v>
      </x:c>
      <x:c r="D291" s="10" t="n">
        <x:f>'Invoices'!D291</x:f>
        <x:v>46150</x:v>
      </x:c>
      <x:c r="E291" s="11" t="n">
        <x:f>'Invoices'!E291</x:f>
        <x:v>9253.42</x:v>
      </x:c>
      <x:c r="F291" s="11" t="n">
        <x:f>SUMIFS('Payments'!$E$5:$E$429,'Payments'!$B$5:$B$429,A291,'Payments'!$D$5:$D$429,"&lt;="&amp;'Start Here'!$B$5)</x:f>
        <x:v>9253.42</x:v>
      </x:c>
      <x:c r="G291" s="11" t="n">
        <x:f>ROUND(E291-F291,2)</x:f>
        <x:v>0</x:v>
      </x:c>
      <x:c r="H291" s="2" t="n">
        <x:f>IF(G291&gt;0,MAX(0,'Start Here'!$B$5-D291),0)</x:f>
        <x:v>0</x:v>
      </x:c>
      <x:c r="I291" s="2" t="str">
        <x:f>IF(G291=0,"Paid",IF(H291=0,"Current",IF(H291&lt;=30,"1-30",IF(H291&lt;=60,"31-60",IF(H291&lt;=90,"61-90","91+")))))</x:f>
        <x:v>Paid</x:v>
      </x:c>
      <x:c r="J291" s="2" t="n">
        <x:f>IF(G291=0,0,IF(H291=0,1,IF(H291&lt;=30,2,IF(H291&lt;=60,3,IF(H291&lt;=90,4,5)))))</x:f>
        <x:v>0</x:v>
      </x:c>
      <x:c r="K291" s="2" t="str">
        <x:f>'Invoices'!F291</x:f>
        <x:v>No</x:v>
      </x:c>
      <x:c r="L291" s="10" t="n">
        <x:f>'Start Here'!$B$5</x:f>
        <x:v>46295</x:v>
      </x:c>
    </x:row>
    <x:row r="292" ht="23" customHeight="1">
      <x:c r="A292" s="2" t="str">
        <x:f>'Invoices'!A292</x:f>
        <x:v>INV00288</x:v>
      </x:c>
      <x:c r="B292" s="2" t="str">
        <x:f>'Invoices'!B292</x:f>
        <x:v>C034</x:v>
      </x:c>
      <x:c r="C292" s="10" t="n">
        <x:f>'Invoices'!C292</x:f>
        <x:v>46095</x:v>
      </x:c>
      <x:c r="D292" s="10" t="n">
        <x:f>'Invoices'!D292</x:f>
        <x:v>46155</x:v>
      </x:c>
      <x:c r="E292" s="11" t="n">
        <x:f>'Invoices'!E292</x:f>
        <x:v>2149.99</x:v>
      </x:c>
      <x:c r="F292" s="11" t="n">
        <x:f>SUMIFS('Payments'!$E$5:$E$429,'Payments'!$B$5:$B$429,A292,'Payments'!$D$5:$D$429,"&lt;="&amp;'Start Here'!$B$5)</x:f>
        <x:v>2149.99</x:v>
      </x:c>
      <x:c r="G292" s="11" t="n">
        <x:f>ROUND(E292-F292,2)</x:f>
        <x:v>0</x:v>
      </x:c>
      <x:c r="H292" s="2" t="n">
        <x:f>IF(G292&gt;0,MAX(0,'Start Here'!$B$5-D292),0)</x:f>
        <x:v>0</x:v>
      </x:c>
      <x:c r="I292" s="2" t="str">
        <x:f>IF(G292=0,"Paid",IF(H292=0,"Current",IF(H292&lt;=30,"1-30",IF(H292&lt;=60,"31-60",IF(H292&lt;=90,"61-90","91+")))))</x:f>
        <x:v>Paid</x:v>
      </x:c>
      <x:c r="J292" s="2" t="n">
        <x:f>IF(G292=0,0,IF(H292=0,1,IF(H292&lt;=30,2,IF(H292&lt;=60,3,IF(H292&lt;=90,4,5)))))</x:f>
        <x:v>0</x:v>
      </x:c>
      <x:c r="K292" s="2" t="str">
        <x:f>'Invoices'!F292</x:f>
        <x:v>No</x:v>
      </x:c>
      <x:c r="L292" s="10" t="n">
        <x:f>'Start Here'!$B$5</x:f>
        <x:v>46295</x:v>
      </x:c>
    </x:row>
    <x:row r="293" ht="23" customHeight="1">
      <x:c r="A293" s="2" t="str">
        <x:f>'Invoices'!A293</x:f>
        <x:v>INV00289</x:v>
      </x:c>
      <x:c r="B293" s="2" t="str">
        <x:f>'Invoices'!B293</x:f>
        <x:v>C007</x:v>
      </x:c>
      <x:c r="C293" s="10" t="n">
        <x:f>'Invoices'!C293</x:f>
        <x:v>46088</x:v>
      </x:c>
      <x:c r="D293" s="10" t="n">
        <x:f>'Invoices'!D293</x:f>
        <x:v>46148</x:v>
      </x:c>
      <x:c r="E293" s="11" t="n">
        <x:f>'Invoices'!E293</x:f>
        <x:v>9991.86</x:v>
      </x:c>
      <x:c r="F293" s="11" t="n">
        <x:f>SUMIFS('Payments'!$E$5:$E$429,'Payments'!$B$5:$B$429,A293,'Payments'!$D$5:$D$429,"&lt;="&amp;'Start Here'!$B$5)</x:f>
        <x:v>9991.86</x:v>
      </x:c>
      <x:c r="G293" s="11" t="n">
        <x:f>ROUND(E293-F293,2)</x:f>
        <x:v>0</x:v>
      </x:c>
      <x:c r="H293" s="2" t="n">
        <x:f>IF(G293&gt;0,MAX(0,'Start Here'!$B$5-D293),0)</x:f>
        <x:v>0</x:v>
      </x:c>
      <x:c r="I293" s="2" t="str">
        <x:f>IF(G293=0,"Paid",IF(H293=0,"Current",IF(H293&lt;=30,"1-30",IF(H293&lt;=60,"31-60",IF(H293&lt;=90,"61-90","91+")))))</x:f>
        <x:v>Paid</x:v>
      </x:c>
      <x:c r="J293" s="2" t="n">
        <x:f>IF(G293=0,0,IF(H293=0,1,IF(H293&lt;=30,2,IF(H293&lt;=60,3,IF(H293&lt;=90,4,5)))))</x:f>
        <x:v>0</x:v>
      </x:c>
      <x:c r="K293" s="2" t="str">
        <x:f>'Invoices'!F293</x:f>
        <x:v>No</x:v>
      </x:c>
      <x:c r="L293" s="10" t="n">
        <x:f>'Start Here'!$B$5</x:f>
        <x:v>46295</x:v>
      </x:c>
    </x:row>
    <x:row r="294" ht="23" customHeight="1">
      <x:c r="A294" s="2" t="str">
        <x:f>'Invoices'!A294</x:f>
        <x:v>INV00290</x:v>
      </x:c>
      <x:c r="B294" s="2" t="str">
        <x:f>'Invoices'!B294</x:f>
        <x:v>C001</x:v>
      </x:c>
      <x:c r="C294" s="10" t="n">
        <x:f>'Invoices'!C294</x:f>
        <x:v>46129</x:v>
      </x:c>
      <x:c r="D294" s="10" t="n">
        <x:f>'Invoices'!D294</x:f>
        <x:v>46174</x:v>
      </x:c>
      <x:c r="E294" s="11" t="n">
        <x:f>'Invoices'!E294</x:f>
        <x:v>9297.77</x:v>
      </x:c>
      <x:c r="F294" s="11" t="n">
        <x:f>SUMIFS('Payments'!$E$5:$E$429,'Payments'!$B$5:$B$429,A294,'Payments'!$D$5:$D$429,"&lt;="&amp;'Start Here'!$B$5)</x:f>
        <x:v>9297.77</x:v>
      </x:c>
      <x:c r="G294" s="11" t="n">
        <x:f>ROUND(E294-F294,2)</x:f>
        <x:v>0</x:v>
      </x:c>
      <x:c r="H294" s="2" t="n">
        <x:f>IF(G294&gt;0,MAX(0,'Start Here'!$B$5-D294),0)</x:f>
        <x:v>0</x:v>
      </x:c>
      <x:c r="I294" s="2" t="str">
        <x:f>IF(G294=0,"Paid",IF(H294=0,"Current",IF(H294&lt;=30,"1-30",IF(H294&lt;=60,"31-60",IF(H294&lt;=90,"61-90","91+")))))</x:f>
        <x:v>Paid</x:v>
      </x:c>
      <x:c r="J294" s="2" t="n">
        <x:f>IF(G294=0,0,IF(H294=0,1,IF(H294&lt;=30,2,IF(H294&lt;=60,3,IF(H294&lt;=90,4,5)))))</x:f>
        <x:v>0</x:v>
      </x:c>
      <x:c r="K294" s="2" t="str">
        <x:f>'Invoices'!F294</x:f>
        <x:v>No</x:v>
      </x:c>
      <x:c r="L294" s="10" t="n">
        <x:f>'Start Here'!$B$5</x:f>
        <x:v>46295</x:v>
      </x:c>
    </x:row>
    <x:row r="295" ht="23" customHeight="1">
      <x:c r="A295" s="2" t="str">
        <x:f>'Invoices'!A295</x:f>
        <x:v>INV00291</x:v>
      </x:c>
      <x:c r="B295" s="2" t="str">
        <x:f>'Invoices'!B295</x:f>
        <x:v>C029</x:v>
      </x:c>
      <x:c r="C295" s="10" t="n">
        <x:f>'Invoices'!C295</x:f>
        <x:v>46112</x:v>
      </x:c>
      <x:c r="D295" s="10" t="n">
        <x:f>'Invoices'!D295</x:f>
        <x:v>46172</x:v>
      </x:c>
      <x:c r="E295" s="11" t="n">
        <x:f>'Invoices'!E295</x:f>
        <x:v>4083.37</x:v>
      </x:c>
      <x:c r="F295" s="11" t="n">
        <x:f>SUMIFS('Payments'!$E$5:$E$429,'Payments'!$B$5:$B$429,A295,'Payments'!$D$5:$D$429,"&lt;="&amp;'Start Here'!$B$5)</x:f>
        <x:v>4083.37</x:v>
      </x:c>
      <x:c r="G295" s="11" t="n">
        <x:f>ROUND(E295-F295,2)</x:f>
        <x:v>0</x:v>
      </x:c>
      <x:c r="H295" s="2" t="n">
        <x:f>IF(G295&gt;0,MAX(0,'Start Here'!$B$5-D295),0)</x:f>
        <x:v>0</x:v>
      </x:c>
      <x:c r="I295" s="2" t="str">
        <x:f>IF(G295=0,"Paid",IF(H295=0,"Current",IF(H295&lt;=30,"1-30",IF(H295&lt;=60,"31-60",IF(H295&lt;=90,"61-90","91+")))))</x:f>
        <x:v>Paid</x:v>
      </x:c>
      <x:c r="J295" s="2" t="n">
        <x:f>IF(G295=0,0,IF(H295=0,1,IF(H295&lt;=30,2,IF(H295&lt;=60,3,IF(H295&lt;=90,4,5)))))</x:f>
        <x:v>0</x:v>
      </x:c>
      <x:c r="K295" s="2" t="str">
        <x:f>'Invoices'!F295</x:f>
        <x:v>No</x:v>
      </x:c>
      <x:c r="L295" s="10" t="n">
        <x:f>'Start Here'!$B$5</x:f>
        <x:v>46295</x:v>
      </x:c>
    </x:row>
    <x:row r="296" ht="23" customHeight="1">
      <x:c r="A296" s="2" t="str">
        <x:f>'Invoices'!A296</x:f>
        <x:v>INV00292</x:v>
      </x:c>
      <x:c r="B296" s="2" t="str">
        <x:f>'Invoices'!B296</x:f>
        <x:v>C007</x:v>
      </x:c>
      <x:c r="C296" s="10" t="n">
        <x:f>'Invoices'!C296</x:f>
        <x:v>46215</x:v>
      </x:c>
      <x:c r="D296" s="10" t="n">
        <x:f>'Invoices'!D296</x:f>
        <x:v>46230</x:v>
      </x:c>
      <x:c r="E296" s="11" t="n">
        <x:f>'Invoices'!E296</x:f>
        <x:v>17101.99</x:v>
      </x:c>
      <x:c r="F296" s="11" t="n">
        <x:f>SUMIFS('Payments'!$E$5:$E$429,'Payments'!$B$5:$B$429,A296,'Payments'!$D$5:$D$429,"&lt;="&amp;'Start Here'!$B$5)</x:f>
        <x:v>17101.99</x:v>
      </x:c>
      <x:c r="G296" s="11" t="n">
        <x:f>ROUND(E296-F296,2)</x:f>
        <x:v>0</x:v>
      </x:c>
      <x:c r="H296" s="2" t="n">
        <x:f>IF(G296&gt;0,MAX(0,'Start Here'!$B$5-D296),0)</x:f>
        <x:v>0</x:v>
      </x:c>
      <x:c r="I296" s="2" t="str">
        <x:f>IF(G296=0,"Paid",IF(H296=0,"Current",IF(H296&lt;=30,"1-30",IF(H296&lt;=60,"31-60",IF(H296&lt;=90,"61-90","91+")))))</x:f>
        <x:v>Paid</x:v>
      </x:c>
      <x:c r="J296" s="2" t="n">
        <x:f>IF(G296=0,0,IF(H296=0,1,IF(H296&lt;=30,2,IF(H296&lt;=60,3,IF(H296&lt;=90,4,5)))))</x:f>
        <x:v>0</x:v>
      </x:c>
      <x:c r="K296" s="2" t="str">
        <x:f>'Invoices'!F296</x:f>
        <x:v>No</x:v>
      </x:c>
      <x:c r="L296" s="10" t="n">
        <x:f>'Start Here'!$B$5</x:f>
        <x:v>46295</x:v>
      </x:c>
    </x:row>
    <x:row r="297" ht="23" customHeight="1">
      <x:c r="A297" s="2" t="str">
        <x:f>'Invoices'!A297</x:f>
        <x:v>INV00293</x:v>
      </x:c>
      <x:c r="B297" s="2" t="str">
        <x:f>'Invoices'!B297</x:f>
        <x:v>C019</x:v>
      </x:c>
      <x:c r="C297" s="10" t="n">
        <x:f>'Invoices'!C297</x:f>
        <x:v>46270</x:v>
      </x:c>
      <x:c r="D297" s="10" t="n">
        <x:f>'Invoices'!D297</x:f>
        <x:v>46330</x:v>
      </x:c>
      <x:c r="E297" s="11" t="n">
        <x:f>'Invoices'!E297</x:f>
        <x:v>4001</x:v>
      </x:c>
      <x:c r="F297" s="11" t="n">
        <x:f>SUMIFS('Payments'!$E$5:$E$429,'Payments'!$B$5:$B$429,A297,'Payments'!$D$5:$D$429,"&lt;="&amp;'Start Here'!$B$5)</x:f>
        <x:v>0</x:v>
      </x:c>
      <x:c r="G297" s="11" t="n">
        <x:f>ROUND(E297-F297,2)</x:f>
        <x:v>4001</x:v>
      </x:c>
      <x:c r="H297" s="2" t="n">
        <x:f>IF(G297&gt;0,MAX(0,'Start Here'!$B$5-D297),0)</x:f>
        <x:v>0</x:v>
      </x:c>
      <x:c r="I297" s="2" t="str">
        <x:f>IF(G297=0,"Paid",IF(H297=0,"Current",IF(H297&lt;=30,"1-30",IF(H297&lt;=60,"31-60",IF(H297&lt;=90,"61-90","91+")))))</x:f>
        <x:v>Current</x:v>
      </x:c>
      <x:c r="J297" s="2" t="n">
        <x:f>IF(G297=0,0,IF(H297=0,1,IF(H297&lt;=30,2,IF(H297&lt;=60,3,IF(H297&lt;=90,4,5)))))</x:f>
        <x:v>1</x:v>
      </x:c>
      <x:c r="K297" s="2" t="str">
        <x:f>'Invoices'!F297</x:f>
        <x:v>Yes</x:v>
      </x:c>
      <x:c r="L297" s="10" t="n">
        <x:f>'Start Here'!$B$5</x:f>
        <x:v>46295</x:v>
      </x:c>
    </x:row>
    <x:row r="298" ht="23" customHeight="1">
      <x:c r="A298" s="2" t="str">
        <x:f>'Invoices'!A298</x:f>
        <x:v>INV00294</x:v>
      </x:c>
      <x:c r="B298" s="2" t="str">
        <x:f>'Invoices'!B298</x:f>
        <x:v>C027</x:v>
      </x:c>
      <x:c r="C298" s="10" t="n">
        <x:f>'Invoices'!C298</x:f>
        <x:v>46110</x:v>
      </x:c>
      <x:c r="D298" s="10" t="n">
        <x:f>'Invoices'!D298</x:f>
        <x:v>46125</x:v>
      </x:c>
      <x:c r="E298" s="11" t="n">
        <x:f>'Invoices'!E298</x:f>
        <x:v>18481.44</x:v>
      </x:c>
      <x:c r="F298" s="11" t="n">
        <x:f>SUMIFS('Payments'!$E$5:$E$429,'Payments'!$B$5:$B$429,A298,'Payments'!$D$5:$D$429,"&lt;="&amp;'Start Here'!$B$5)</x:f>
        <x:v>0</x:v>
      </x:c>
      <x:c r="G298" s="11" t="n">
        <x:f>ROUND(E298-F298,2)</x:f>
        <x:v>18481.44</x:v>
      </x:c>
      <x:c r="H298" s="2" t="n">
        <x:f>IF(G298&gt;0,MAX(0,'Start Here'!$B$5-D298),0)</x:f>
        <x:v>170</x:v>
      </x:c>
      <x:c r="I298" s="2" t="str">
        <x:f>IF(G298=0,"Paid",IF(H298=0,"Current",IF(H298&lt;=30,"1-30",IF(H298&lt;=60,"31-60",IF(H298&lt;=90,"61-90","91+")))))</x:f>
        <x:v>91+</x:v>
      </x:c>
      <x:c r="J298" s="2" t="n">
        <x:f>IF(G298=0,0,IF(H298=0,1,IF(H298&lt;=30,2,IF(H298&lt;=60,3,IF(H298&lt;=90,4,5)))))</x:f>
        <x:v>5</x:v>
      </x:c>
      <x:c r="K298" s="2" t="str">
        <x:f>'Invoices'!F298</x:f>
        <x:v>No</x:v>
      </x:c>
      <x:c r="L298" s="10" t="n">
        <x:f>'Start Here'!$B$5</x:f>
        <x:v>46295</x:v>
      </x:c>
    </x:row>
    <x:row r="299" ht="23" customHeight="1">
      <x:c r="A299" s="2" t="str">
        <x:f>'Invoices'!A299</x:f>
        <x:v>INV00295</x:v>
      </x:c>
      <x:c r="B299" s="2" t="str">
        <x:f>'Invoices'!B299</x:f>
        <x:v>C017</x:v>
      </x:c>
      <x:c r="C299" s="10" t="n">
        <x:f>'Invoices'!C299</x:f>
        <x:v>46100</x:v>
      </x:c>
      <x:c r="D299" s="10" t="n">
        <x:f>'Invoices'!D299</x:f>
        <x:v>46130</x:v>
      </x:c>
      <x:c r="E299" s="11" t="n">
        <x:f>'Invoices'!E299</x:f>
        <x:v>967.43</x:v>
      </x:c>
      <x:c r="F299" s="11" t="n">
        <x:f>SUMIFS('Payments'!$E$5:$E$429,'Payments'!$B$5:$B$429,A299,'Payments'!$D$5:$D$429,"&lt;="&amp;'Start Here'!$B$5)</x:f>
        <x:v>967.43</x:v>
      </x:c>
      <x:c r="G299" s="11" t="n">
        <x:f>ROUND(E299-F299,2)</x:f>
        <x:v>0</x:v>
      </x:c>
      <x:c r="H299" s="2" t="n">
        <x:f>IF(G299&gt;0,MAX(0,'Start Here'!$B$5-D299),0)</x:f>
        <x:v>0</x:v>
      </x:c>
      <x:c r="I299" s="2" t="str">
        <x:f>IF(G299=0,"Paid",IF(H299=0,"Current",IF(H299&lt;=30,"1-30",IF(H299&lt;=60,"31-60",IF(H299&lt;=90,"61-90","91+")))))</x:f>
        <x:v>Paid</x:v>
      </x:c>
      <x:c r="J299" s="2" t="n">
        <x:f>IF(G299=0,0,IF(H299=0,1,IF(H299&lt;=30,2,IF(H299&lt;=60,3,IF(H299&lt;=90,4,5)))))</x:f>
        <x:v>0</x:v>
      </x:c>
      <x:c r="K299" s="2" t="str">
        <x:f>'Invoices'!F299</x:f>
        <x:v>No</x:v>
      </x:c>
      <x:c r="L299" s="10" t="n">
        <x:f>'Start Here'!$B$5</x:f>
        <x:v>46295</x:v>
      </x:c>
    </x:row>
    <x:row r="300" ht="23" customHeight="1">
      <x:c r="A300" s="2" t="str">
        <x:f>'Invoices'!A300</x:f>
        <x:v>INV00296</x:v>
      </x:c>
      <x:c r="B300" s="2" t="str">
        <x:f>'Invoices'!B300</x:f>
        <x:v>C004</x:v>
      </x:c>
      <x:c r="C300" s="10" t="n">
        <x:f>'Invoices'!C300</x:f>
        <x:v>46149</x:v>
      </x:c>
      <x:c r="D300" s="10" t="n">
        <x:f>'Invoices'!D300</x:f>
        <x:v>46179</x:v>
      </x:c>
      <x:c r="E300" s="11" t="n">
        <x:f>'Invoices'!E300</x:f>
        <x:v>4202.86</x:v>
      </x:c>
      <x:c r="F300" s="11" t="n">
        <x:f>SUMIFS('Payments'!$E$5:$E$429,'Payments'!$B$5:$B$429,A300,'Payments'!$D$5:$D$429,"&lt;="&amp;'Start Here'!$B$5)</x:f>
        <x:v>4202.86</x:v>
      </x:c>
      <x:c r="G300" s="11" t="n">
        <x:f>ROUND(E300-F300,2)</x:f>
        <x:v>0</x:v>
      </x:c>
      <x:c r="H300" s="2" t="n">
        <x:f>IF(G300&gt;0,MAX(0,'Start Here'!$B$5-D300),0)</x:f>
        <x:v>0</x:v>
      </x:c>
      <x:c r="I300" s="2" t="str">
        <x:f>IF(G300=0,"Paid",IF(H300=0,"Current",IF(H300&lt;=30,"1-30",IF(H300&lt;=60,"31-60",IF(H300&lt;=90,"61-90","91+")))))</x:f>
        <x:v>Paid</x:v>
      </x:c>
      <x:c r="J300" s="2" t="n">
        <x:f>IF(G300=0,0,IF(H300=0,1,IF(H300&lt;=30,2,IF(H300&lt;=60,3,IF(H300&lt;=90,4,5)))))</x:f>
        <x:v>0</x:v>
      </x:c>
      <x:c r="K300" s="2" t="str">
        <x:f>'Invoices'!F300</x:f>
        <x:v>No</x:v>
      </x:c>
      <x:c r="L300" s="10" t="n">
        <x:f>'Start Here'!$B$5</x:f>
        <x:v>46295</x:v>
      </x:c>
    </x:row>
    <x:row r="301" ht="23" customHeight="1">
      <x:c r="A301" s="2" t="str">
        <x:f>'Invoices'!A301</x:f>
        <x:v>INV00297</x:v>
      </x:c>
      <x:c r="B301" s="2" t="str">
        <x:f>'Invoices'!B301</x:f>
        <x:v>C014</x:v>
      </x:c>
      <x:c r="C301" s="10" t="n">
        <x:f>'Invoices'!C301</x:f>
        <x:v>46175</x:v>
      </x:c>
      <x:c r="D301" s="10" t="n">
        <x:f>'Invoices'!D301</x:f>
        <x:v>46190</x:v>
      </x:c>
      <x:c r="E301" s="11" t="n">
        <x:f>'Invoices'!E301</x:f>
        <x:v>15653.24</x:v>
      </x:c>
      <x:c r="F301" s="11" t="n">
        <x:f>SUMIFS('Payments'!$E$5:$E$429,'Payments'!$B$5:$B$429,A301,'Payments'!$D$5:$D$429,"&lt;="&amp;'Start Here'!$B$5)</x:f>
        <x:v>15653.24</x:v>
      </x:c>
      <x:c r="G301" s="11" t="n">
        <x:f>ROUND(E301-F301,2)</x:f>
        <x:v>0</x:v>
      </x:c>
      <x:c r="H301" s="2" t="n">
        <x:f>IF(G301&gt;0,MAX(0,'Start Here'!$B$5-D301),0)</x:f>
        <x:v>0</x:v>
      </x:c>
      <x:c r="I301" s="2" t="str">
        <x:f>IF(G301=0,"Paid",IF(H301=0,"Current",IF(H301&lt;=30,"1-30",IF(H301&lt;=60,"31-60",IF(H301&lt;=90,"61-90","91+")))))</x:f>
        <x:v>Paid</x:v>
      </x:c>
      <x:c r="J301" s="2" t="n">
        <x:f>IF(G301=0,0,IF(H301=0,1,IF(H301&lt;=30,2,IF(H301&lt;=60,3,IF(H301&lt;=90,4,5)))))</x:f>
        <x:v>0</x:v>
      </x:c>
      <x:c r="K301" s="2" t="str">
        <x:f>'Invoices'!F301</x:f>
        <x:v>No</x:v>
      </x:c>
      <x:c r="L301" s="10" t="n">
        <x:f>'Start Here'!$B$5</x:f>
        <x:v>46295</x:v>
      </x:c>
    </x:row>
    <x:row r="302" ht="23" customHeight="1">
      <x:c r="A302" s="2" t="str">
        <x:f>'Invoices'!A302</x:f>
        <x:v>INV00298</x:v>
      </x:c>
      <x:c r="B302" s="2" t="str">
        <x:f>'Invoices'!B302</x:f>
        <x:v>C020</x:v>
      </x:c>
      <x:c r="C302" s="10" t="n">
        <x:f>'Invoices'!C302</x:f>
        <x:v>46071</x:v>
      </x:c>
      <x:c r="D302" s="10" t="n">
        <x:f>'Invoices'!D302</x:f>
        <x:v>46101</x:v>
      </x:c>
      <x:c r="E302" s="11" t="n">
        <x:f>'Invoices'!E302</x:f>
        <x:v>15935.73</x:v>
      </x:c>
      <x:c r="F302" s="11" t="n">
        <x:f>SUMIFS('Payments'!$E$5:$E$429,'Payments'!$B$5:$B$429,A302,'Payments'!$D$5:$D$429,"&lt;="&amp;'Start Here'!$B$5)</x:f>
        <x:v>15935.73</x:v>
      </x:c>
      <x:c r="G302" s="11" t="n">
        <x:f>ROUND(E302-F302,2)</x:f>
        <x:v>0</x:v>
      </x:c>
      <x:c r="H302" s="2" t="n">
        <x:f>IF(G302&gt;0,MAX(0,'Start Here'!$B$5-D302),0)</x:f>
        <x:v>0</x:v>
      </x:c>
      <x:c r="I302" s="2" t="str">
        <x:f>IF(G302=0,"Paid",IF(H302=0,"Current",IF(H302&lt;=30,"1-30",IF(H302&lt;=60,"31-60",IF(H302&lt;=90,"61-90","91+")))))</x:f>
        <x:v>Paid</x:v>
      </x:c>
      <x:c r="J302" s="2" t="n">
        <x:f>IF(G302=0,0,IF(H302=0,1,IF(H302&lt;=30,2,IF(H302&lt;=60,3,IF(H302&lt;=90,4,5)))))</x:f>
        <x:v>0</x:v>
      </x:c>
      <x:c r="K302" s="2" t="str">
        <x:f>'Invoices'!F302</x:f>
        <x:v>No</x:v>
      </x:c>
      <x:c r="L302" s="10" t="n">
        <x:f>'Start Here'!$B$5</x:f>
        <x:v>46295</x:v>
      </x:c>
    </x:row>
    <x:row r="303" ht="23" customHeight="1">
      <x:c r="A303" s="2" t="str">
        <x:f>'Invoices'!A303</x:f>
        <x:v>INV00299</x:v>
      </x:c>
      <x:c r="B303" s="2" t="str">
        <x:f>'Invoices'!B303</x:f>
        <x:v>C034</x:v>
      </x:c>
      <x:c r="C303" s="10" t="n">
        <x:f>'Invoices'!C303</x:f>
        <x:v>46172</x:v>
      </x:c>
      <x:c r="D303" s="10" t="n">
        <x:f>'Invoices'!D303</x:f>
        <x:v>46202</x:v>
      </x:c>
      <x:c r="E303" s="11" t="n">
        <x:f>'Invoices'!E303</x:f>
        <x:v>11261.05</x:v>
      </x:c>
      <x:c r="F303" s="11" t="n">
        <x:f>SUMIFS('Payments'!$E$5:$E$429,'Payments'!$B$5:$B$429,A303,'Payments'!$D$5:$D$429,"&lt;="&amp;'Start Here'!$B$5)</x:f>
        <x:v>11261.05</x:v>
      </x:c>
      <x:c r="G303" s="11" t="n">
        <x:f>ROUND(E303-F303,2)</x:f>
        <x:v>0</x:v>
      </x:c>
      <x:c r="H303" s="2" t="n">
        <x:f>IF(G303&gt;0,MAX(0,'Start Here'!$B$5-D303),0)</x:f>
        <x:v>0</x:v>
      </x:c>
      <x:c r="I303" s="2" t="str">
        <x:f>IF(G303=0,"Paid",IF(H303=0,"Current",IF(H303&lt;=30,"1-30",IF(H303&lt;=60,"31-60",IF(H303&lt;=90,"61-90","91+")))))</x:f>
        <x:v>Paid</x:v>
      </x:c>
      <x:c r="J303" s="2" t="n">
        <x:f>IF(G303=0,0,IF(H303=0,1,IF(H303&lt;=30,2,IF(H303&lt;=60,3,IF(H303&lt;=90,4,5)))))</x:f>
        <x:v>0</x:v>
      </x:c>
      <x:c r="K303" s="2" t="str">
        <x:f>'Invoices'!F303</x:f>
        <x:v>No</x:v>
      </x:c>
      <x:c r="L303" s="10" t="n">
        <x:f>'Start Here'!$B$5</x:f>
        <x:v>46295</x:v>
      </x:c>
    </x:row>
    <x:row r="304" ht="23" customHeight="1">
      <x:c r="A304" s="2" t="str">
        <x:f>'Invoices'!A304</x:f>
        <x:v>INV00300</x:v>
      </x:c>
      <x:c r="B304" s="2" t="str">
        <x:f>'Invoices'!B304</x:f>
        <x:v>C015</x:v>
      </x:c>
      <x:c r="C304" s="10" t="n">
        <x:f>'Invoices'!C304</x:f>
        <x:v>46239</x:v>
      </x:c>
      <x:c r="D304" s="10" t="n">
        <x:f>'Invoices'!D304</x:f>
        <x:v>46269</x:v>
      </x:c>
      <x:c r="E304" s="11" t="n">
        <x:f>'Invoices'!E304</x:f>
        <x:v>2116.74</x:v>
      </x:c>
      <x:c r="F304" s="11" t="n">
        <x:f>SUMIFS('Payments'!$E$5:$E$429,'Payments'!$B$5:$B$429,A304,'Payments'!$D$5:$D$429,"&lt;="&amp;'Start Here'!$B$5)</x:f>
        <x:v>2116.74</x:v>
      </x:c>
      <x:c r="G304" s="11" t="n">
        <x:f>ROUND(E304-F304,2)</x:f>
        <x:v>0</x:v>
      </x:c>
      <x:c r="H304" s="2" t="n">
        <x:f>IF(G304&gt;0,MAX(0,'Start Here'!$B$5-D304),0)</x:f>
        <x:v>0</x:v>
      </x:c>
      <x:c r="I304" s="2" t="str">
        <x:f>IF(G304=0,"Paid",IF(H304=0,"Current",IF(H304&lt;=30,"1-30",IF(H304&lt;=60,"31-60",IF(H304&lt;=90,"61-90","91+")))))</x:f>
        <x:v>Paid</x:v>
      </x:c>
      <x:c r="J304" s="2" t="n">
        <x:f>IF(G304=0,0,IF(H304=0,1,IF(H304&lt;=30,2,IF(H304&lt;=60,3,IF(H304&lt;=90,4,5)))))</x:f>
        <x:v>0</x:v>
      </x:c>
      <x:c r="K304" s="2" t="str">
        <x:f>'Invoices'!F304</x:f>
        <x:v>No</x:v>
      </x:c>
      <x:c r="L304" s="10" t="n">
        <x:f>'Start Here'!$B$5</x:f>
        <x:v>46295</x:v>
      </x:c>
    </x:row>
    <x:row r="305" ht="23" customHeight="1">
      <x:c r="A305" s="2" t="str">
        <x:f>'Invoices'!A305</x:f>
        <x:v>INV00301</x:v>
      </x:c>
      <x:c r="B305" s="2" t="str">
        <x:f>'Invoices'!B305</x:f>
        <x:v>C005</x:v>
      </x:c>
      <x:c r="C305" s="10" t="n">
        <x:f>'Invoices'!C305</x:f>
        <x:v>46294</x:v>
      </x:c>
      <x:c r="D305" s="10" t="n">
        <x:f>'Invoices'!D305</x:f>
        <x:v>46309</x:v>
      </x:c>
      <x:c r="E305" s="11" t="n">
        <x:f>'Invoices'!E305</x:f>
        <x:v>9223.38</x:v>
      </x:c>
      <x:c r="F305" s="11" t="n">
        <x:f>SUMIFS('Payments'!$E$5:$E$429,'Payments'!$B$5:$B$429,A305,'Payments'!$D$5:$D$429,"&lt;="&amp;'Start Here'!$B$5)</x:f>
        <x:v>0</x:v>
      </x:c>
      <x:c r="G305" s="11" t="n">
        <x:f>ROUND(E305-F305,2)</x:f>
        <x:v>9223.38</x:v>
      </x:c>
      <x:c r="H305" s="2" t="n">
        <x:f>IF(G305&gt;0,MAX(0,'Start Here'!$B$5-D305),0)</x:f>
        <x:v>0</x:v>
      </x:c>
      <x:c r="I305" s="2" t="str">
        <x:f>IF(G305=0,"Paid",IF(H305=0,"Current",IF(H305&lt;=30,"1-30",IF(H305&lt;=60,"31-60",IF(H305&lt;=90,"61-90","91+")))))</x:f>
        <x:v>Current</x:v>
      </x:c>
      <x:c r="J305" s="2" t="n">
        <x:f>IF(G305=0,0,IF(H305=0,1,IF(H305&lt;=30,2,IF(H305&lt;=60,3,IF(H305&lt;=90,4,5)))))</x:f>
        <x:v>1</x:v>
      </x:c>
      <x:c r="K305" s="2" t="str">
        <x:f>'Invoices'!F305</x:f>
        <x:v>No</x:v>
      </x:c>
      <x:c r="L305" s="10" t="n">
        <x:f>'Start Here'!$B$5</x:f>
        <x:v>46295</x:v>
      </x:c>
    </x:row>
    <x:row r="306" ht="23" customHeight="1">
      <x:c r="A306" s="2" t="str">
        <x:f>'Invoices'!A306</x:f>
        <x:v>INV00302</x:v>
      </x:c>
      <x:c r="B306" s="2" t="str">
        <x:f>'Invoices'!B306</x:f>
        <x:v>C004</x:v>
      </x:c>
      <x:c r="C306" s="10" t="n">
        <x:f>'Invoices'!C306</x:f>
        <x:v>46288</x:v>
      </x:c>
      <x:c r="D306" s="10" t="n">
        <x:f>'Invoices'!D306</x:f>
        <x:v>46348</x:v>
      </x:c>
      <x:c r="E306" s="11" t="n">
        <x:f>'Invoices'!E306</x:f>
        <x:v>3810.61</x:v>
      </x:c>
      <x:c r="F306" s="11" t="n">
        <x:f>SUMIFS('Payments'!$E$5:$E$429,'Payments'!$B$5:$B$429,A306,'Payments'!$D$5:$D$429,"&lt;="&amp;'Start Here'!$B$5)</x:f>
        <x:v>0</x:v>
      </x:c>
      <x:c r="G306" s="11" t="n">
        <x:f>ROUND(E306-F306,2)</x:f>
        <x:v>3810.61</x:v>
      </x:c>
      <x:c r="H306" s="2" t="n">
        <x:f>IF(G306&gt;0,MAX(0,'Start Here'!$B$5-D306),0)</x:f>
        <x:v>0</x:v>
      </x:c>
      <x:c r="I306" s="2" t="str">
        <x:f>IF(G306=0,"Paid",IF(H306=0,"Current",IF(H306&lt;=30,"1-30",IF(H306&lt;=60,"31-60",IF(H306&lt;=90,"61-90","91+")))))</x:f>
        <x:v>Current</x:v>
      </x:c>
      <x:c r="J306" s="2" t="n">
        <x:f>IF(G306=0,0,IF(H306=0,1,IF(H306&lt;=30,2,IF(H306&lt;=60,3,IF(H306&lt;=90,4,5)))))</x:f>
        <x:v>1</x:v>
      </x:c>
      <x:c r="K306" s="2" t="str">
        <x:f>'Invoices'!F306</x:f>
        <x:v>No</x:v>
      </x:c>
      <x:c r="L306" s="10" t="n">
        <x:f>'Start Here'!$B$5</x:f>
        <x:v>46295</x:v>
      </x:c>
    </x:row>
    <x:row r="307" ht="23" customHeight="1">
      <x:c r="A307" s="2" t="str">
        <x:f>'Invoices'!A307</x:f>
        <x:v>INV00303</x:v>
      </x:c>
      <x:c r="B307" s="2" t="str">
        <x:f>'Invoices'!B307</x:f>
        <x:v>C034</x:v>
      </x:c>
      <x:c r="C307" s="10" t="n">
        <x:f>'Invoices'!C307</x:f>
        <x:v>46121</x:v>
      </x:c>
      <x:c r="D307" s="10" t="n">
        <x:f>'Invoices'!D307</x:f>
        <x:v>46151</x:v>
      </x:c>
      <x:c r="E307" s="11" t="n">
        <x:f>'Invoices'!E307</x:f>
        <x:v>4766.39</x:v>
      </x:c>
      <x:c r="F307" s="11" t="n">
        <x:f>SUMIFS('Payments'!$E$5:$E$429,'Payments'!$B$5:$B$429,A307,'Payments'!$D$5:$D$429,"&lt;="&amp;'Start Here'!$B$5)</x:f>
        <x:v>4766.39</x:v>
      </x:c>
      <x:c r="G307" s="11" t="n">
        <x:f>ROUND(E307-F307,2)</x:f>
        <x:v>0</x:v>
      </x:c>
      <x:c r="H307" s="2" t="n">
        <x:f>IF(G307&gt;0,MAX(0,'Start Here'!$B$5-D307),0)</x:f>
        <x:v>0</x:v>
      </x:c>
      <x:c r="I307" s="2" t="str">
        <x:f>IF(G307=0,"Paid",IF(H307=0,"Current",IF(H307&lt;=30,"1-30",IF(H307&lt;=60,"31-60",IF(H307&lt;=90,"61-90","91+")))))</x:f>
        <x:v>Paid</x:v>
      </x:c>
      <x:c r="J307" s="2" t="n">
        <x:f>IF(G307=0,0,IF(H307=0,1,IF(H307&lt;=30,2,IF(H307&lt;=60,3,IF(H307&lt;=90,4,5)))))</x:f>
        <x:v>0</x:v>
      </x:c>
      <x:c r="K307" s="2" t="str">
        <x:f>'Invoices'!F307</x:f>
        <x:v>No</x:v>
      </x:c>
      <x:c r="L307" s="10" t="n">
        <x:f>'Start Here'!$B$5</x:f>
        <x:v>46295</x:v>
      </x:c>
    </x:row>
    <x:row r="308" ht="23" customHeight="1">
      <x:c r="A308" s="2" t="str">
        <x:f>'Invoices'!A308</x:f>
        <x:v>INV00304</x:v>
      </x:c>
      <x:c r="B308" s="2" t="str">
        <x:f>'Invoices'!B308</x:f>
        <x:v>C005</x:v>
      </x:c>
      <x:c r="C308" s="10" t="n">
        <x:f>'Invoices'!C308</x:f>
        <x:v>46243</x:v>
      </x:c>
      <x:c r="D308" s="10" t="n">
        <x:f>'Invoices'!D308</x:f>
        <x:v>46303</x:v>
      </x:c>
      <x:c r="E308" s="11" t="n">
        <x:f>'Invoices'!E308</x:f>
        <x:v>3234.49</x:v>
      </x:c>
      <x:c r="F308" s="11" t="n">
        <x:f>SUMIFS('Payments'!$E$5:$E$429,'Payments'!$B$5:$B$429,A308,'Payments'!$D$5:$D$429,"&lt;="&amp;'Start Here'!$B$5)</x:f>
        <x:v>0</x:v>
      </x:c>
      <x:c r="G308" s="11" t="n">
        <x:f>ROUND(E308-F308,2)</x:f>
        <x:v>3234.49</x:v>
      </x:c>
      <x:c r="H308" s="2" t="n">
        <x:f>IF(G308&gt;0,MAX(0,'Start Here'!$B$5-D308),0)</x:f>
        <x:v>0</x:v>
      </x:c>
      <x:c r="I308" s="2" t="str">
        <x:f>IF(G308=0,"Paid",IF(H308=0,"Current",IF(H308&lt;=30,"1-30",IF(H308&lt;=60,"31-60",IF(H308&lt;=90,"61-90","91+")))))</x:f>
        <x:v>Current</x:v>
      </x:c>
      <x:c r="J308" s="2" t="n">
        <x:f>IF(G308=0,0,IF(H308=0,1,IF(H308&lt;=30,2,IF(H308&lt;=60,3,IF(H308&lt;=90,4,5)))))</x:f>
        <x:v>1</x:v>
      </x:c>
      <x:c r="K308" s="2" t="str">
        <x:f>'Invoices'!F308</x:f>
        <x:v>No</x:v>
      </x:c>
      <x:c r="L308" s="10" t="n">
        <x:f>'Start Here'!$B$5</x:f>
        <x:v>46295</x:v>
      </x:c>
    </x:row>
    <x:row r="309" ht="23" customHeight="1">
      <x:c r="A309" s="2" t="str">
        <x:f>'Invoices'!A309</x:f>
        <x:v>INV00305</x:v>
      </x:c>
      <x:c r="B309" s="2" t="str">
        <x:f>'Invoices'!B309</x:f>
        <x:v>C017</x:v>
      </x:c>
      <x:c r="C309" s="10" t="n">
        <x:f>'Invoices'!C309</x:f>
        <x:v>46028</x:v>
      </x:c>
      <x:c r="D309" s="10" t="n">
        <x:f>'Invoices'!D309</x:f>
        <x:v>46088</x:v>
      </x:c>
      <x:c r="E309" s="11" t="n">
        <x:f>'Invoices'!E309</x:f>
        <x:v>11720.54</x:v>
      </x:c>
      <x:c r="F309" s="11" t="n">
        <x:f>SUMIFS('Payments'!$E$5:$E$429,'Payments'!$B$5:$B$429,A309,'Payments'!$D$5:$D$429,"&lt;="&amp;'Start Here'!$B$5)</x:f>
        <x:v>0</x:v>
      </x:c>
      <x:c r="G309" s="11" t="n">
        <x:f>ROUND(E309-F309,2)</x:f>
        <x:v>11720.54</x:v>
      </x:c>
      <x:c r="H309" s="2" t="n">
        <x:f>IF(G309&gt;0,MAX(0,'Start Here'!$B$5-D309),0)</x:f>
        <x:v>207</x:v>
      </x:c>
      <x:c r="I309" s="2" t="str">
        <x:f>IF(G309=0,"Paid",IF(H309=0,"Current",IF(H309&lt;=30,"1-30",IF(H309&lt;=60,"31-60",IF(H309&lt;=90,"61-90","91+")))))</x:f>
        <x:v>91+</x:v>
      </x:c>
      <x:c r="J309" s="2" t="n">
        <x:f>IF(G309=0,0,IF(H309=0,1,IF(H309&lt;=30,2,IF(H309&lt;=60,3,IF(H309&lt;=90,4,5)))))</x:f>
        <x:v>5</x:v>
      </x:c>
      <x:c r="K309" s="2" t="str">
        <x:f>'Invoices'!F309</x:f>
        <x:v>No</x:v>
      </x:c>
      <x:c r="L309" s="10" t="n">
        <x:f>'Start Here'!$B$5</x:f>
        <x:v>46295</x:v>
      </x:c>
    </x:row>
    <x:row r="310" ht="23" customHeight="1">
      <x:c r="A310" s="2" t="str">
        <x:f>'Invoices'!A310</x:f>
        <x:v>INV00306</x:v>
      </x:c>
      <x:c r="B310" s="2" t="str">
        <x:f>'Invoices'!B310</x:f>
        <x:v>C008</x:v>
      </x:c>
      <x:c r="C310" s="10" t="n">
        <x:f>'Invoices'!C310</x:f>
        <x:v>46194</x:v>
      </x:c>
      <x:c r="D310" s="10" t="n">
        <x:f>'Invoices'!D310</x:f>
        <x:v>46209</x:v>
      </x:c>
      <x:c r="E310" s="11" t="n">
        <x:f>'Invoices'!E310</x:f>
        <x:v>2218.38</x:v>
      </x:c>
      <x:c r="F310" s="11" t="n">
        <x:f>SUMIFS('Payments'!$E$5:$E$429,'Payments'!$B$5:$B$429,A310,'Payments'!$D$5:$D$429,"&lt;="&amp;'Start Here'!$B$5)</x:f>
        <x:v>2218.38</x:v>
      </x:c>
      <x:c r="G310" s="11" t="n">
        <x:f>ROUND(E310-F310,2)</x:f>
        <x:v>0</x:v>
      </x:c>
      <x:c r="H310" s="2" t="n">
        <x:f>IF(G310&gt;0,MAX(0,'Start Here'!$B$5-D310),0)</x:f>
        <x:v>0</x:v>
      </x:c>
      <x:c r="I310" s="2" t="str">
        <x:f>IF(G310=0,"Paid",IF(H310=0,"Current",IF(H310&lt;=30,"1-30",IF(H310&lt;=60,"31-60",IF(H310&lt;=90,"61-90","91+")))))</x:f>
        <x:v>Paid</x:v>
      </x:c>
      <x:c r="J310" s="2" t="n">
        <x:f>IF(G310=0,0,IF(H310=0,1,IF(H310&lt;=30,2,IF(H310&lt;=60,3,IF(H310&lt;=90,4,5)))))</x:f>
        <x:v>0</x:v>
      </x:c>
      <x:c r="K310" s="2" t="str">
        <x:f>'Invoices'!F310</x:f>
        <x:v>No</x:v>
      </x:c>
      <x:c r="L310" s="10" t="n">
        <x:f>'Start Here'!$B$5</x:f>
        <x:v>46295</x:v>
      </x:c>
    </x:row>
    <x:row r="311" ht="23" customHeight="1">
      <x:c r="A311" s="2" t="str">
        <x:f>'Invoices'!A311</x:f>
        <x:v>INV00307</x:v>
      </x:c>
      <x:c r="B311" s="2" t="str">
        <x:f>'Invoices'!B311</x:f>
        <x:v>C033</x:v>
      </x:c>
      <x:c r="C311" s="10" t="n">
        <x:f>'Invoices'!C311</x:f>
        <x:v>46222</x:v>
      </x:c>
      <x:c r="D311" s="10" t="n">
        <x:f>'Invoices'!D311</x:f>
        <x:v>46252</x:v>
      </x:c>
      <x:c r="E311" s="11" t="n">
        <x:f>'Invoices'!E311</x:f>
        <x:v>7483.44</x:v>
      </x:c>
      <x:c r="F311" s="11" t="n">
        <x:f>SUMIFS('Payments'!$E$5:$E$429,'Payments'!$B$5:$B$429,A311,'Payments'!$D$5:$D$429,"&lt;="&amp;'Start Here'!$B$5)</x:f>
        <x:v>0</x:v>
      </x:c>
      <x:c r="G311" s="11" t="n">
        <x:f>ROUND(E311-F311,2)</x:f>
        <x:v>7483.44</x:v>
      </x:c>
      <x:c r="H311" s="2" t="n">
        <x:f>IF(G311&gt;0,MAX(0,'Start Here'!$B$5-D311),0)</x:f>
        <x:v>43</x:v>
      </x:c>
      <x:c r="I311" s="2" t="str">
        <x:f>IF(G311=0,"Paid",IF(H311=0,"Current",IF(H311&lt;=30,"1-30",IF(H311&lt;=60,"31-60",IF(H311&lt;=90,"61-90","91+")))))</x:f>
        <x:v>31-60</x:v>
      </x:c>
      <x:c r="J311" s="2" t="n">
        <x:f>IF(G311=0,0,IF(H311=0,1,IF(H311&lt;=30,2,IF(H311&lt;=60,3,IF(H311&lt;=90,4,5)))))</x:f>
        <x:v>3</x:v>
      </x:c>
      <x:c r="K311" s="2" t="str">
        <x:f>'Invoices'!F311</x:f>
        <x:v>No</x:v>
      </x:c>
      <x:c r="L311" s="10" t="n">
        <x:f>'Start Here'!$B$5</x:f>
        <x:v>46295</x:v>
      </x:c>
    </x:row>
    <x:row r="312" ht="23" customHeight="1">
      <x:c r="A312" s="2" t="str">
        <x:f>'Invoices'!A312</x:f>
        <x:v>INV00308</x:v>
      </x:c>
      <x:c r="B312" s="2" t="str">
        <x:f>'Invoices'!B312</x:f>
        <x:v>C027</x:v>
      </x:c>
      <x:c r="C312" s="10" t="n">
        <x:f>'Invoices'!C312</x:f>
        <x:v>46149</x:v>
      </x:c>
      <x:c r="D312" s="10" t="n">
        <x:f>'Invoices'!D312</x:f>
        <x:v>46209</x:v>
      </x:c>
      <x:c r="E312" s="11" t="n">
        <x:f>'Invoices'!E312</x:f>
        <x:v>8035.09</x:v>
      </x:c>
      <x:c r="F312" s="11" t="n">
        <x:f>SUMIFS('Payments'!$E$5:$E$429,'Payments'!$B$5:$B$429,A312,'Payments'!$D$5:$D$429,"&lt;="&amp;'Start Here'!$B$5)</x:f>
        <x:v>8035.09</x:v>
      </x:c>
      <x:c r="G312" s="11" t="n">
        <x:f>ROUND(E312-F312,2)</x:f>
        <x:v>0</x:v>
      </x:c>
      <x:c r="H312" s="2" t="n">
        <x:f>IF(G312&gt;0,MAX(0,'Start Here'!$B$5-D312),0)</x:f>
        <x:v>0</x:v>
      </x:c>
      <x:c r="I312" s="2" t="str">
        <x:f>IF(G312=0,"Paid",IF(H312=0,"Current",IF(H312&lt;=30,"1-30",IF(H312&lt;=60,"31-60",IF(H312&lt;=90,"61-90","91+")))))</x:f>
        <x:v>Paid</x:v>
      </x:c>
      <x:c r="J312" s="2" t="n">
        <x:f>IF(G312=0,0,IF(H312=0,1,IF(H312&lt;=30,2,IF(H312&lt;=60,3,IF(H312&lt;=90,4,5)))))</x:f>
        <x:v>0</x:v>
      </x:c>
      <x:c r="K312" s="2" t="str">
        <x:f>'Invoices'!F312</x:f>
        <x:v>No</x:v>
      </x:c>
      <x:c r="L312" s="10" t="n">
        <x:f>'Start Here'!$B$5</x:f>
        <x:v>46295</x:v>
      </x:c>
    </x:row>
    <x:row r="313" ht="23" customHeight="1">
      <x:c r="A313" s="2" t="str">
        <x:f>'Invoices'!A313</x:f>
        <x:v>INV00309</x:v>
      </x:c>
      <x:c r="B313" s="2" t="str">
        <x:f>'Invoices'!B313</x:f>
        <x:v>C028</x:v>
      </x:c>
      <x:c r="C313" s="10" t="n">
        <x:f>'Invoices'!C313</x:f>
        <x:v>46115</x:v>
      </x:c>
      <x:c r="D313" s="10" t="n">
        <x:f>'Invoices'!D313</x:f>
        <x:v>46145</x:v>
      </x:c>
      <x:c r="E313" s="11" t="n">
        <x:f>'Invoices'!E313</x:f>
        <x:v>6992.98</x:v>
      </x:c>
      <x:c r="F313" s="11" t="n">
        <x:f>SUMIFS('Payments'!$E$5:$E$429,'Payments'!$B$5:$B$429,A313,'Payments'!$D$5:$D$429,"&lt;="&amp;'Start Here'!$B$5)</x:f>
        <x:v>6992.98</x:v>
      </x:c>
      <x:c r="G313" s="11" t="n">
        <x:f>ROUND(E313-F313,2)</x:f>
        <x:v>0</x:v>
      </x:c>
      <x:c r="H313" s="2" t="n">
        <x:f>IF(G313&gt;0,MAX(0,'Start Here'!$B$5-D313),0)</x:f>
        <x:v>0</x:v>
      </x:c>
      <x:c r="I313" s="2" t="str">
        <x:f>IF(G313=0,"Paid",IF(H313=0,"Current",IF(H313&lt;=30,"1-30",IF(H313&lt;=60,"31-60",IF(H313&lt;=90,"61-90","91+")))))</x:f>
        <x:v>Paid</x:v>
      </x:c>
      <x:c r="J313" s="2" t="n">
        <x:f>IF(G313=0,0,IF(H313=0,1,IF(H313&lt;=30,2,IF(H313&lt;=60,3,IF(H313&lt;=90,4,5)))))</x:f>
        <x:v>0</x:v>
      </x:c>
      <x:c r="K313" s="2" t="str">
        <x:f>'Invoices'!F313</x:f>
        <x:v>No</x:v>
      </x:c>
      <x:c r="L313" s="10" t="n">
        <x:f>'Start Here'!$B$5</x:f>
        <x:v>46295</x:v>
      </x:c>
    </x:row>
    <x:row r="314" ht="23" customHeight="1">
      <x:c r="A314" s="2" t="str">
        <x:f>'Invoices'!A314</x:f>
        <x:v>INV00310</x:v>
      </x:c>
      <x:c r="B314" s="2" t="str">
        <x:f>'Invoices'!B314</x:f>
        <x:v>C026</x:v>
      </x:c>
      <x:c r="C314" s="10" t="n">
        <x:f>'Invoices'!C314</x:f>
        <x:v>46202</x:v>
      </x:c>
      <x:c r="D314" s="10" t="n">
        <x:f>'Invoices'!D314</x:f>
        <x:v>46232</x:v>
      </x:c>
      <x:c r="E314" s="11" t="n">
        <x:f>'Invoices'!E314</x:f>
        <x:v>3395.91</x:v>
      </x:c>
      <x:c r="F314" s="11" t="n">
        <x:f>SUMIFS('Payments'!$E$5:$E$429,'Payments'!$B$5:$B$429,A314,'Payments'!$D$5:$D$429,"&lt;="&amp;'Start Here'!$B$5)</x:f>
        <x:v>0</x:v>
      </x:c>
      <x:c r="G314" s="11" t="n">
        <x:f>ROUND(E314-F314,2)</x:f>
        <x:v>3395.91</x:v>
      </x:c>
      <x:c r="H314" s="2" t="n">
        <x:f>IF(G314&gt;0,MAX(0,'Start Here'!$B$5-D314),0)</x:f>
        <x:v>63</x:v>
      </x:c>
      <x:c r="I314" s="2" t="str">
        <x:f>IF(G314=0,"Paid",IF(H314=0,"Current",IF(H314&lt;=30,"1-30",IF(H314&lt;=60,"31-60",IF(H314&lt;=90,"61-90","91+")))))</x:f>
        <x:v>61-90</x:v>
      </x:c>
      <x:c r="J314" s="2" t="n">
        <x:f>IF(G314=0,0,IF(H314=0,1,IF(H314&lt;=30,2,IF(H314&lt;=60,3,IF(H314&lt;=90,4,5)))))</x:f>
        <x:v>4</x:v>
      </x:c>
      <x:c r="K314" s="2" t="str">
        <x:f>'Invoices'!F314</x:f>
        <x:v>No</x:v>
      </x:c>
      <x:c r="L314" s="10" t="n">
        <x:f>'Start Here'!$B$5</x:f>
        <x:v>46295</x:v>
      </x:c>
    </x:row>
    <x:row r="315" ht="23" customHeight="1">
      <x:c r="A315" s="2" t="str">
        <x:f>'Invoices'!A315</x:f>
        <x:v>INV00311</x:v>
      </x:c>
      <x:c r="B315" s="2" t="str">
        <x:f>'Invoices'!B315</x:f>
        <x:v>C032</x:v>
      </x:c>
      <x:c r="C315" s="10" t="n">
        <x:f>'Invoices'!C315</x:f>
        <x:v>46177</x:v>
      </x:c>
      <x:c r="D315" s="10" t="n">
        <x:f>'Invoices'!D315</x:f>
        <x:v>46222</x:v>
      </x:c>
      <x:c r="E315" s="11" t="n">
        <x:f>'Invoices'!E315</x:f>
        <x:v>3600.36</x:v>
      </x:c>
      <x:c r="F315" s="11" t="n">
        <x:f>SUMIFS('Payments'!$E$5:$E$429,'Payments'!$B$5:$B$429,A315,'Payments'!$D$5:$D$429,"&lt;="&amp;'Start Here'!$B$5)</x:f>
        <x:v>3600.36</x:v>
      </x:c>
      <x:c r="G315" s="11" t="n">
        <x:f>ROUND(E315-F315,2)</x:f>
        <x:v>0</x:v>
      </x:c>
      <x:c r="H315" s="2" t="n">
        <x:f>IF(G315&gt;0,MAX(0,'Start Here'!$B$5-D315),0)</x:f>
        <x:v>0</x:v>
      </x:c>
      <x:c r="I315" s="2" t="str">
        <x:f>IF(G315=0,"Paid",IF(H315=0,"Current",IF(H315&lt;=30,"1-30",IF(H315&lt;=60,"31-60",IF(H315&lt;=90,"61-90","91+")))))</x:f>
        <x:v>Paid</x:v>
      </x:c>
      <x:c r="J315" s="2" t="n">
        <x:f>IF(G315=0,0,IF(H315=0,1,IF(H315&lt;=30,2,IF(H315&lt;=60,3,IF(H315&lt;=90,4,5)))))</x:f>
        <x:v>0</x:v>
      </x:c>
      <x:c r="K315" s="2" t="str">
        <x:f>'Invoices'!F315</x:f>
        <x:v>No</x:v>
      </x:c>
      <x:c r="L315" s="10" t="n">
        <x:f>'Start Here'!$B$5</x:f>
        <x:v>46295</x:v>
      </x:c>
    </x:row>
    <x:row r="316" ht="23" customHeight="1">
      <x:c r="A316" s="2" t="str">
        <x:f>'Invoices'!A316</x:f>
        <x:v>INV00312</x:v>
      </x:c>
      <x:c r="B316" s="2" t="str">
        <x:f>'Invoices'!B316</x:f>
        <x:v>C018</x:v>
      </x:c>
      <x:c r="C316" s="10" t="n">
        <x:f>'Invoices'!C316</x:f>
        <x:v>46115</x:v>
      </x:c>
      <x:c r="D316" s="10" t="n">
        <x:f>'Invoices'!D316</x:f>
        <x:v>46145</x:v>
      </x:c>
      <x:c r="E316" s="11" t="n">
        <x:f>'Invoices'!E316</x:f>
        <x:v>18739.95</x:v>
      </x:c>
      <x:c r="F316" s="11" t="n">
        <x:f>SUMIFS('Payments'!$E$5:$E$429,'Payments'!$B$5:$B$429,A316,'Payments'!$D$5:$D$429,"&lt;="&amp;'Start Here'!$B$5)</x:f>
        <x:v>0</x:v>
      </x:c>
      <x:c r="G316" s="11" t="n">
        <x:f>ROUND(E316-F316,2)</x:f>
        <x:v>18739.95</x:v>
      </x:c>
      <x:c r="H316" s="2" t="n">
        <x:f>IF(G316&gt;0,MAX(0,'Start Here'!$B$5-D316),0)</x:f>
        <x:v>150</x:v>
      </x:c>
      <x:c r="I316" s="2" t="str">
        <x:f>IF(G316=0,"Paid",IF(H316=0,"Current",IF(H316&lt;=30,"1-30",IF(H316&lt;=60,"31-60",IF(H316&lt;=90,"61-90","91+")))))</x:f>
        <x:v>91+</x:v>
      </x:c>
      <x:c r="J316" s="2" t="n">
        <x:f>IF(G316=0,0,IF(H316=0,1,IF(H316&lt;=30,2,IF(H316&lt;=60,3,IF(H316&lt;=90,4,5)))))</x:f>
        <x:v>5</x:v>
      </x:c>
      <x:c r="K316" s="2" t="str">
        <x:f>'Invoices'!F316</x:f>
        <x:v>Yes</x:v>
      </x:c>
      <x:c r="L316" s="10" t="n">
        <x:f>'Start Here'!$B$5</x:f>
        <x:v>46295</x:v>
      </x:c>
    </x:row>
    <x:row r="317" ht="23" customHeight="1">
      <x:c r="A317" s="2" t="str">
        <x:f>'Invoices'!A317</x:f>
        <x:v>INV00313</x:v>
      </x:c>
      <x:c r="B317" s="2" t="str">
        <x:f>'Invoices'!B317</x:f>
        <x:v>C034</x:v>
      </x:c>
      <x:c r="C317" s="10" t="n">
        <x:f>'Invoices'!C317</x:f>
        <x:v>46221</x:v>
      </x:c>
      <x:c r="D317" s="10" t="n">
        <x:f>'Invoices'!D317</x:f>
        <x:v>46281</x:v>
      </x:c>
      <x:c r="E317" s="11" t="n">
        <x:f>'Invoices'!E317</x:f>
        <x:v>13802.44</x:v>
      </x:c>
      <x:c r="F317" s="11" t="n">
        <x:f>SUMIFS('Payments'!$E$5:$E$429,'Payments'!$B$5:$B$429,A317,'Payments'!$D$5:$D$429,"&lt;="&amp;'Start Here'!$B$5)</x:f>
        <x:v>8281.46</x:v>
      </x:c>
      <x:c r="G317" s="11" t="n">
        <x:f>ROUND(E317-F317,2)</x:f>
        <x:v>5520.98</x:v>
      </x:c>
      <x:c r="H317" s="2" t="n">
        <x:f>IF(G317&gt;0,MAX(0,'Start Here'!$B$5-D317),0)</x:f>
        <x:v>14</x:v>
      </x:c>
      <x:c r="I317" s="2" t="str">
        <x:f>IF(G317=0,"Paid",IF(H317=0,"Current",IF(H317&lt;=30,"1-30",IF(H317&lt;=60,"31-60",IF(H317&lt;=90,"61-90","91+")))))</x:f>
        <x:v>1-30</x:v>
      </x:c>
      <x:c r="J317" s="2" t="n">
        <x:f>IF(G317=0,0,IF(H317=0,1,IF(H317&lt;=30,2,IF(H317&lt;=60,3,IF(H317&lt;=90,4,5)))))</x:f>
        <x:v>2</x:v>
      </x:c>
      <x:c r="K317" s="2" t="str">
        <x:f>'Invoices'!F317</x:f>
        <x:v>No</x:v>
      </x:c>
      <x:c r="L317" s="10" t="n">
        <x:f>'Start Here'!$B$5</x:f>
        <x:v>46295</x:v>
      </x:c>
    </x:row>
    <x:row r="318" ht="23" customHeight="1">
      <x:c r="A318" s="2" t="str">
        <x:f>'Invoices'!A318</x:f>
        <x:v>INV00314</x:v>
      </x:c>
      <x:c r="B318" s="2" t="str">
        <x:f>'Invoices'!B318</x:f>
        <x:v>C016</x:v>
      </x:c>
      <x:c r="C318" s="10" t="n">
        <x:f>'Invoices'!C318</x:f>
        <x:v>46207</x:v>
      </x:c>
      <x:c r="D318" s="10" t="n">
        <x:f>'Invoices'!D318</x:f>
        <x:v>46267</x:v>
      </x:c>
      <x:c r="E318" s="11" t="n">
        <x:f>'Invoices'!E318</x:f>
        <x:v>19351.94</x:v>
      </x:c>
      <x:c r="F318" s="11" t="n">
        <x:f>SUMIFS('Payments'!$E$5:$E$429,'Payments'!$B$5:$B$429,A318,'Payments'!$D$5:$D$429,"&lt;="&amp;'Start Here'!$B$5)</x:f>
        <x:v>19351.94</x:v>
      </x:c>
      <x:c r="G318" s="11" t="n">
        <x:f>ROUND(E318-F318,2)</x:f>
        <x:v>0</x:v>
      </x:c>
      <x:c r="H318" s="2" t="n">
        <x:f>IF(G318&gt;0,MAX(0,'Start Here'!$B$5-D318),0)</x:f>
        <x:v>0</x:v>
      </x:c>
      <x:c r="I318" s="2" t="str">
        <x:f>IF(G318=0,"Paid",IF(H318=0,"Current",IF(H318&lt;=30,"1-30",IF(H318&lt;=60,"31-60",IF(H318&lt;=90,"61-90","91+")))))</x:f>
        <x:v>Paid</x:v>
      </x:c>
      <x:c r="J318" s="2" t="n">
        <x:f>IF(G318=0,0,IF(H318=0,1,IF(H318&lt;=30,2,IF(H318&lt;=60,3,IF(H318&lt;=90,4,5)))))</x:f>
        <x:v>0</x:v>
      </x:c>
      <x:c r="K318" s="2" t="str">
        <x:f>'Invoices'!F318</x:f>
        <x:v>No</x:v>
      </x:c>
      <x:c r="L318" s="10" t="n">
        <x:f>'Start Here'!$B$5</x:f>
        <x:v>46295</x:v>
      </x:c>
    </x:row>
    <x:row r="319" ht="23" customHeight="1">
      <x:c r="A319" s="2" t="str">
        <x:f>'Invoices'!A319</x:f>
        <x:v>INV00315</x:v>
      </x:c>
      <x:c r="B319" s="2" t="str">
        <x:f>'Invoices'!B319</x:f>
        <x:v>C009</x:v>
      </x:c>
      <x:c r="C319" s="10" t="n">
        <x:f>'Invoices'!C319</x:f>
        <x:v>46047</x:v>
      </x:c>
      <x:c r="D319" s="10" t="n">
        <x:f>'Invoices'!D319</x:f>
        <x:v>46107</x:v>
      </x:c>
      <x:c r="E319" s="11" t="n">
        <x:f>'Invoices'!E319</x:f>
        <x:v>1130.36</x:v>
      </x:c>
      <x:c r="F319" s="11" t="n">
        <x:f>SUMIFS('Payments'!$E$5:$E$429,'Payments'!$B$5:$B$429,A319,'Payments'!$D$5:$D$429,"&lt;="&amp;'Start Here'!$B$5)</x:f>
        <x:v>1130.3600000000001</x:v>
      </x:c>
      <x:c r="G319" s="11" t="n">
        <x:f>ROUND(E319-F319,2)</x:f>
        <x:v>0</x:v>
      </x:c>
      <x:c r="H319" s="2" t="n">
        <x:f>IF(G319&gt;0,MAX(0,'Start Here'!$B$5-D319),0)</x:f>
        <x:v>0</x:v>
      </x:c>
      <x:c r="I319" s="2" t="str">
        <x:f>IF(G319=0,"Paid",IF(H319=0,"Current",IF(H319&lt;=30,"1-30",IF(H319&lt;=60,"31-60",IF(H319&lt;=90,"61-90","91+")))))</x:f>
        <x:v>Paid</x:v>
      </x:c>
      <x:c r="J319" s="2" t="n">
        <x:f>IF(G319=0,0,IF(H319=0,1,IF(H319&lt;=30,2,IF(H319&lt;=60,3,IF(H319&lt;=90,4,5)))))</x:f>
        <x:v>0</x:v>
      </x:c>
      <x:c r="K319" s="2" t="str">
        <x:f>'Invoices'!F319</x:f>
        <x:v>No</x:v>
      </x:c>
      <x:c r="L319" s="10" t="n">
        <x:f>'Start Here'!$B$5</x:f>
        <x:v>46295</x:v>
      </x:c>
    </x:row>
    <x:row r="320" ht="23" customHeight="1">
      <x:c r="A320" s="2" t="str">
        <x:f>'Invoices'!A320</x:f>
        <x:v>INV00316</x:v>
      </x:c>
      <x:c r="B320" s="2" t="str">
        <x:f>'Invoices'!B320</x:f>
        <x:v>C006</x:v>
      </x:c>
      <x:c r="C320" s="10" t="n">
        <x:f>'Invoices'!C320</x:f>
        <x:v>46219</x:v>
      </x:c>
      <x:c r="D320" s="10" t="n">
        <x:f>'Invoices'!D320</x:f>
        <x:v>46264</x:v>
      </x:c>
      <x:c r="E320" s="11" t="n">
        <x:f>'Invoices'!E320</x:f>
        <x:v>17121.61</x:v>
      </x:c>
      <x:c r="F320" s="11" t="n">
        <x:f>SUMIFS('Payments'!$E$5:$E$429,'Payments'!$B$5:$B$429,A320,'Payments'!$D$5:$D$429,"&lt;="&amp;'Start Here'!$B$5)</x:f>
        <x:v>10272.97</x:v>
      </x:c>
      <x:c r="G320" s="11" t="n">
        <x:f>ROUND(E320-F320,2)</x:f>
        <x:v>6848.64</x:v>
      </x:c>
      <x:c r="H320" s="2" t="n">
        <x:f>IF(G320&gt;0,MAX(0,'Start Here'!$B$5-D320),0)</x:f>
        <x:v>31</x:v>
      </x:c>
      <x:c r="I320" s="2" t="str">
        <x:f>IF(G320=0,"Paid",IF(H320=0,"Current",IF(H320&lt;=30,"1-30",IF(H320&lt;=60,"31-60",IF(H320&lt;=90,"61-90","91+")))))</x:f>
        <x:v>31-60</x:v>
      </x:c>
      <x:c r="J320" s="2" t="n">
        <x:f>IF(G320=0,0,IF(H320=0,1,IF(H320&lt;=30,2,IF(H320&lt;=60,3,IF(H320&lt;=90,4,5)))))</x:f>
        <x:v>3</x:v>
      </x:c>
      <x:c r="K320" s="2" t="str">
        <x:f>'Invoices'!F320</x:f>
        <x:v>No</x:v>
      </x:c>
      <x:c r="L320" s="10" t="n">
        <x:f>'Start Here'!$B$5</x:f>
        <x:v>46295</x:v>
      </x:c>
    </x:row>
    <x:row r="321" ht="23" customHeight="1">
      <x:c r="A321" s="2" t="str">
        <x:f>'Invoices'!A321</x:f>
        <x:v>INV00317</x:v>
      </x:c>
      <x:c r="B321" s="2" t="str">
        <x:f>'Invoices'!B321</x:f>
        <x:v>C001</x:v>
      </x:c>
      <x:c r="C321" s="10" t="n">
        <x:f>'Invoices'!C321</x:f>
        <x:v>46083</x:v>
      </x:c>
      <x:c r="D321" s="10" t="n">
        <x:f>'Invoices'!D321</x:f>
        <x:v>46143</x:v>
      </x:c>
      <x:c r="E321" s="11" t="n">
        <x:f>'Invoices'!E321</x:f>
        <x:v>13291.12</x:v>
      </x:c>
      <x:c r="F321" s="11" t="n">
        <x:f>SUMIFS('Payments'!$E$5:$E$429,'Payments'!$B$5:$B$429,A321,'Payments'!$D$5:$D$429,"&lt;="&amp;'Start Here'!$B$5)</x:f>
        <x:v>13291.12</x:v>
      </x:c>
      <x:c r="G321" s="11" t="n">
        <x:f>ROUND(E321-F321,2)</x:f>
        <x:v>0</x:v>
      </x:c>
      <x:c r="H321" s="2" t="n">
        <x:f>IF(G321&gt;0,MAX(0,'Start Here'!$B$5-D321),0)</x:f>
        <x:v>0</x:v>
      </x:c>
      <x:c r="I321" s="2" t="str">
        <x:f>IF(G321=0,"Paid",IF(H321=0,"Current",IF(H321&lt;=30,"1-30",IF(H321&lt;=60,"31-60",IF(H321&lt;=90,"61-90","91+")))))</x:f>
        <x:v>Paid</x:v>
      </x:c>
      <x:c r="J321" s="2" t="n">
        <x:f>IF(G321=0,0,IF(H321=0,1,IF(H321&lt;=30,2,IF(H321&lt;=60,3,IF(H321&lt;=90,4,5)))))</x:f>
        <x:v>0</x:v>
      </x:c>
      <x:c r="K321" s="2" t="str">
        <x:f>'Invoices'!F321</x:f>
        <x:v>No</x:v>
      </x:c>
      <x:c r="L321" s="10" t="n">
        <x:f>'Start Here'!$B$5</x:f>
        <x:v>46295</x:v>
      </x:c>
    </x:row>
    <x:row r="322" ht="23" customHeight="1">
      <x:c r="A322" s="2" t="str">
        <x:f>'Invoices'!A322</x:f>
        <x:v>INV00318</x:v>
      </x:c>
      <x:c r="B322" s="2" t="str">
        <x:f>'Invoices'!B322</x:f>
        <x:v>C020</x:v>
      </x:c>
      <x:c r="C322" s="10" t="n">
        <x:f>'Invoices'!C322</x:f>
        <x:v>46193</x:v>
      </x:c>
      <x:c r="D322" s="10" t="n">
        <x:f>'Invoices'!D322</x:f>
        <x:v>46253</x:v>
      </x:c>
      <x:c r="E322" s="11" t="n">
        <x:f>'Invoices'!E322</x:f>
        <x:v>6424.75</x:v>
      </x:c>
      <x:c r="F322" s="11" t="n">
        <x:f>SUMIFS('Payments'!$E$5:$E$429,'Payments'!$B$5:$B$429,A322,'Payments'!$D$5:$D$429,"&lt;="&amp;'Start Here'!$B$5)</x:f>
        <x:v>6424.75</x:v>
      </x:c>
      <x:c r="G322" s="11" t="n">
        <x:f>ROUND(E322-F322,2)</x:f>
        <x:v>0</x:v>
      </x:c>
      <x:c r="H322" s="2" t="n">
        <x:f>IF(G322&gt;0,MAX(0,'Start Here'!$B$5-D322),0)</x:f>
        <x:v>0</x:v>
      </x:c>
      <x:c r="I322" s="2" t="str">
        <x:f>IF(G322=0,"Paid",IF(H322=0,"Current",IF(H322&lt;=30,"1-30",IF(H322&lt;=60,"31-60",IF(H322&lt;=90,"61-90","91+")))))</x:f>
        <x:v>Paid</x:v>
      </x:c>
      <x:c r="J322" s="2" t="n">
        <x:f>IF(G322=0,0,IF(H322=0,1,IF(H322&lt;=30,2,IF(H322&lt;=60,3,IF(H322&lt;=90,4,5)))))</x:f>
        <x:v>0</x:v>
      </x:c>
      <x:c r="K322" s="2" t="str">
        <x:f>'Invoices'!F322</x:f>
        <x:v>No</x:v>
      </x:c>
      <x:c r="L322" s="10" t="n">
        <x:f>'Start Here'!$B$5</x:f>
        <x:v>46295</x:v>
      </x:c>
    </x:row>
    <x:row r="323" ht="23" customHeight="1">
      <x:c r="A323" s="2" t="str">
        <x:f>'Invoices'!A323</x:f>
        <x:v>INV00319</x:v>
      </x:c>
      <x:c r="B323" s="2" t="str">
        <x:f>'Invoices'!B323</x:f>
        <x:v>C019</x:v>
      </x:c>
      <x:c r="C323" s="10" t="n">
        <x:f>'Invoices'!C323</x:f>
        <x:v>46237</x:v>
      </x:c>
      <x:c r="D323" s="10" t="n">
        <x:f>'Invoices'!D323</x:f>
        <x:v>46282</x:v>
      </x:c>
      <x:c r="E323" s="11" t="n">
        <x:f>'Invoices'!E323</x:f>
        <x:v>18672.24</x:v>
      </x:c>
      <x:c r="F323" s="11" t="n">
        <x:f>SUMIFS('Payments'!$E$5:$E$429,'Payments'!$B$5:$B$429,A323,'Payments'!$D$5:$D$429,"&lt;="&amp;'Start Here'!$B$5)</x:f>
        <x:v>9336.12</x:v>
      </x:c>
      <x:c r="G323" s="11" t="n">
        <x:f>ROUND(E323-F323,2)</x:f>
        <x:v>9336.12</x:v>
      </x:c>
      <x:c r="H323" s="2" t="n">
        <x:f>IF(G323&gt;0,MAX(0,'Start Here'!$B$5-D323),0)</x:f>
        <x:v>13</x:v>
      </x:c>
      <x:c r="I323" s="2" t="str">
        <x:f>IF(G323=0,"Paid",IF(H323=0,"Current",IF(H323&lt;=30,"1-30",IF(H323&lt;=60,"31-60",IF(H323&lt;=90,"61-90","91+")))))</x:f>
        <x:v>1-30</x:v>
      </x:c>
      <x:c r="J323" s="2" t="n">
        <x:f>IF(G323=0,0,IF(H323=0,1,IF(H323&lt;=30,2,IF(H323&lt;=60,3,IF(H323&lt;=90,4,5)))))</x:f>
        <x:v>2</x:v>
      </x:c>
      <x:c r="K323" s="2" t="str">
        <x:f>'Invoices'!F323</x:f>
        <x:v>No</x:v>
      </x:c>
      <x:c r="L323" s="10" t="n">
        <x:f>'Start Here'!$B$5</x:f>
        <x:v>46295</x:v>
      </x:c>
    </x:row>
    <x:row r="324" ht="23" customHeight="1">
      <x:c r="A324" s="2" t="str">
        <x:f>'Invoices'!A324</x:f>
        <x:v>INV00320</x:v>
      </x:c>
      <x:c r="B324" s="2" t="str">
        <x:f>'Invoices'!B324</x:f>
        <x:v>C020</x:v>
      </x:c>
      <x:c r="C324" s="10" t="n">
        <x:f>'Invoices'!C324</x:f>
        <x:v>46024</x:v>
      </x:c>
      <x:c r="D324" s="10" t="n">
        <x:f>'Invoices'!D324</x:f>
        <x:v>46069</x:v>
      </x:c>
      <x:c r="E324" s="11" t="n">
        <x:f>'Invoices'!E324</x:f>
        <x:v>8491.22</x:v>
      </x:c>
      <x:c r="F324" s="11" t="n">
        <x:f>SUMIFS('Payments'!$E$5:$E$429,'Payments'!$B$5:$B$429,A324,'Payments'!$D$5:$D$429,"&lt;="&amp;'Start Here'!$B$5)</x:f>
        <x:v>8491.22</x:v>
      </x:c>
      <x:c r="G324" s="11" t="n">
        <x:f>ROUND(E324-F324,2)</x:f>
        <x:v>0</x:v>
      </x:c>
      <x:c r="H324" s="2" t="n">
        <x:f>IF(G324&gt;0,MAX(0,'Start Here'!$B$5-D324),0)</x:f>
        <x:v>0</x:v>
      </x:c>
      <x:c r="I324" s="2" t="str">
        <x:f>IF(G324=0,"Paid",IF(H324=0,"Current",IF(H324&lt;=30,"1-30",IF(H324&lt;=60,"31-60",IF(H324&lt;=90,"61-90","91+")))))</x:f>
        <x:v>Paid</x:v>
      </x:c>
      <x:c r="J324" s="2" t="n">
        <x:f>IF(G324=0,0,IF(H324=0,1,IF(H324&lt;=30,2,IF(H324&lt;=60,3,IF(H324&lt;=90,4,5)))))</x:f>
        <x:v>0</x:v>
      </x:c>
      <x:c r="K324" s="2" t="str">
        <x:f>'Invoices'!F324</x:f>
        <x:v>No</x:v>
      </x:c>
      <x:c r="L324" s="10" t="n">
        <x:f>'Start Here'!$B$5</x:f>
        <x:v>46295</x:v>
      </x:c>
    </x:row>
    <x:row r="325" ht="23" customHeight="1">
      <x:c r="A325" s="2" t="str">
        <x:f>'Invoices'!A325</x:f>
        <x:v>INV00321</x:v>
      </x:c>
      <x:c r="B325" s="2" t="str">
        <x:f>'Invoices'!B325</x:f>
        <x:v>C036</x:v>
      </x:c>
      <x:c r="C325" s="10" t="n">
        <x:f>'Invoices'!C325</x:f>
        <x:v>46043</x:v>
      </x:c>
      <x:c r="D325" s="10" t="n">
        <x:f>'Invoices'!D325</x:f>
        <x:v>46088</x:v>
      </x:c>
      <x:c r="E325" s="11" t="n">
        <x:f>'Invoices'!E325</x:f>
        <x:v>15650.32</x:v>
      </x:c>
      <x:c r="F325" s="11" t="n">
        <x:f>SUMIFS('Payments'!$E$5:$E$429,'Payments'!$B$5:$B$429,A325,'Payments'!$D$5:$D$429,"&lt;="&amp;'Start Here'!$B$5)</x:f>
        <x:v>15650.32</x:v>
      </x:c>
      <x:c r="G325" s="11" t="n">
        <x:f>ROUND(E325-F325,2)</x:f>
        <x:v>0</x:v>
      </x:c>
      <x:c r="H325" s="2" t="n">
        <x:f>IF(G325&gt;0,MAX(0,'Start Here'!$B$5-D325),0)</x:f>
        <x:v>0</x:v>
      </x:c>
      <x:c r="I325" s="2" t="str">
        <x:f>IF(G325=0,"Paid",IF(H325=0,"Current",IF(H325&lt;=30,"1-30",IF(H325&lt;=60,"31-60",IF(H325&lt;=90,"61-90","91+")))))</x:f>
        <x:v>Paid</x:v>
      </x:c>
      <x:c r="J325" s="2" t="n">
        <x:f>IF(G325=0,0,IF(H325=0,1,IF(H325&lt;=30,2,IF(H325&lt;=60,3,IF(H325&lt;=90,4,5)))))</x:f>
        <x:v>0</x:v>
      </x:c>
      <x:c r="K325" s="2" t="str">
        <x:f>'Invoices'!F325</x:f>
        <x:v>No</x:v>
      </x:c>
      <x:c r="L325" s="10" t="n">
        <x:f>'Start Here'!$B$5</x:f>
        <x:v>46295</x:v>
      </x:c>
    </x:row>
    <x:row r="326" ht="23" customHeight="1">
      <x:c r="A326" s="2" t="str">
        <x:f>'Invoices'!A326</x:f>
        <x:v>INV00322</x:v>
      </x:c>
      <x:c r="B326" s="2" t="str">
        <x:f>'Invoices'!B326</x:f>
        <x:v>C008</x:v>
      </x:c>
      <x:c r="C326" s="10" t="n">
        <x:f>'Invoices'!C326</x:f>
        <x:v>46045</x:v>
      </x:c>
      <x:c r="D326" s="10" t="n">
        <x:f>'Invoices'!D326</x:f>
        <x:v>46105</x:v>
      </x:c>
      <x:c r="E326" s="11" t="n">
        <x:f>'Invoices'!E326</x:f>
        <x:v>16063.32</x:v>
      </x:c>
      <x:c r="F326" s="11" t="n">
        <x:f>SUMIFS('Payments'!$E$5:$E$429,'Payments'!$B$5:$B$429,A326,'Payments'!$D$5:$D$429,"&lt;="&amp;'Start Here'!$B$5)</x:f>
        <x:v>16063.32</x:v>
      </x:c>
      <x:c r="G326" s="11" t="n">
        <x:f>ROUND(E326-F326,2)</x:f>
        <x:v>0</x:v>
      </x:c>
      <x:c r="H326" s="2" t="n">
        <x:f>IF(G326&gt;0,MAX(0,'Start Here'!$B$5-D326),0)</x:f>
        <x:v>0</x:v>
      </x:c>
      <x:c r="I326" s="2" t="str">
        <x:f>IF(G326=0,"Paid",IF(H326=0,"Current",IF(H326&lt;=30,"1-30",IF(H326&lt;=60,"31-60",IF(H326&lt;=90,"61-90","91+")))))</x:f>
        <x:v>Paid</x:v>
      </x:c>
      <x:c r="J326" s="2" t="n">
        <x:f>IF(G326=0,0,IF(H326=0,1,IF(H326&lt;=30,2,IF(H326&lt;=60,3,IF(H326&lt;=90,4,5)))))</x:f>
        <x:v>0</x:v>
      </x:c>
      <x:c r="K326" s="2" t="str">
        <x:f>'Invoices'!F326</x:f>
        <x:v>No</x:v>
      </x:c>
      <x:c r="L326" s="10" t="n">
        <x:f>'Start Here'!$B$5</x:f>
        <x:v>46295</x:v>
      </x:c>
    </x:row>
    <x:row r="327" ht="23" customHeight="1">
      <x:c r="A327" s="2" t="str">
        <x:f>'Invoices'!A327</x:f>
        <x:v>INV00323</x:v>
      </x:c>
      <x:c r="B327" s="2" t="str">
        <x:f>'Invoices'!B327</x:f>
        <x:v>C028</x:v>
      </x:c>
      <x:c r="C327" s="10" t="n">
        <x:f>'Invoices'!C327</x:f>
        <x:v>46062</x:v>
      </x:c>
      <x:c r="D327" s="10" t="n">
        <x:f>'Invoices'!D327</x:f>
        <x:v>46107</x:v>
      </x:c>
      <x:c r="E327" s="11" t="n">
        <x:f>'Invoices'!E327</x:f>
        <x:v>16674.47</x:v>
      </x:c>
      <x:c r="F327" s="11" t="n">
        <x:f>SUMIFS('Payments'!$E$5:$E$429,'Payments'!$B$5:$B$429,A327,'Payments'!$D$5:$D$429,"&lt;="&amp;'Start Here'!$B$5)</x:f>
        <x:v>0</x:v>
      </x:c>
      <x:c r="G327" s="11" t="n">
        <x:f>ROUND(E327-F327,2)</x:f>
        <x:v>16674.47</x:v>
      </x:c>
      <x:c r="H327" s="2" t="n">
        <x:f>IF(G327&gt;0,MAX(0,'Start Here'!$B$5-D327),0)</x:f>
        <x:v>188</x:v>
      </x:c>
      <x:c r="I327" s="2" t="str">
        <x:f>IF(G327=0,"Paid",IF(H327=0,"Current",IF(H327&lt;=30,"1-30",IF(H327&lt;=60,"31-60",IF(H327&lt;=90,"61-90","91+")))))</x:f>
        <x:v>91+</x:v>
      </x:c>
      <x:c r="J327" s="2" t="n">
        <x:f>IF(G327=0,0,IF(H327=0,1,IF(H327&lt;=30,2,IF(H327&lt;=60,3,IF(H327&lt;=90,4,5)))))</x:f>
        <x:v>5</x:v>
      </x:c>
      <x:c r="K327" s="2" t="str">
        <x:f>'Invoices'!F327</x:f>
        <x:v>No</x:v>
      </x:c>
      <x:c r="L327" s="10" t="n">
        <x:f>'Start Here'!$B$5</x:f>
        <x:v>46295</x:v>
      </x:c>
    </x:row>
    <x:row r="328" ht="23" customHeight="1">
      <x:c r="A328" s="2" t="str">
        <x:f>'Invoices'!A328</x:f>
        <x:v>INV00324</x:v>
      </x:c>
      <x:c r="B328" s="2" t="str">
        <x:f>'Invoices'!B328</x:f>
        <x:v>C019</x:v>
      </x:c>
      <x:c r="C328" s="10" t="n">
        <x:f>'Invoices'!C328</x:f>
        <x:v>46088</x:v>
      </x:c>
      <x:c r="D328" s="10" t="n">
        <x:f>'Invoices'!D328</x:f>
        <x:v>46103</x:v>
      </x:c>
      <x:c r="E328" s="11" t="n">
        <x:f>'Invoices'!E328</x:f>
        <x:v>6937.2</x:v>
      </x:c>
      <x:c r="F328" s="11" t="n">
        <x:f>SUMIFS('Payments'!$E$5:$E$429,'Payments'!$B$5:$B$429,A328,'Payments'!$D$5:$D$429,"&lt;="&amp;'Start Here'!$B$5)</x:f>
        <x:v>6937.2</x:v>
      </x:c>
      <x:c r="G328" s="11" t="n">
        <x:f>ROUND(E328-F328,2)</x:f>
        <x:v>0</x:v>
      </x:c>
      <x:c r="H328" s="2" t="n">
        <x:f>IF(G328&gt;0,MAX(0,'Start Here'!$B$5-D328),0)</x:f>
        <x:v>0</x:v>
      </x:c>
      <x:c r="I328" s="2" t="str">
        <x:f>IF(G328=0,"Paid",IF(H328=0,"Current",IF(H328&lt;=30,"1-30",IF(H328&lt;=60,"31-60",IF(H328&lt;=90,"61-90","91+")))))</x:f>
        <x:v>Paid</x:v>
      </x:c>
      <x:c r="J328" s="2" t="n">
        <x:f>IF(G328=0,0,IF(H328=0,1,IF(H328&lt;=30,2,IF(H328&lt;=60,3,IF(H328&lt;=90,4,5)))))</x:f>
        <x:v>0</x:v>
      </x:c>
      <x:c r="K328" s="2" t="str">
        <x:f>'Invoices'!F328</x:f>
        <x:v>No</x:v>
      </x:c>
      <x:c r="L328" s="10" t="n">
        <x:f>'Start Here'!$B$5</x:f>
        <x:v>46295</x:v>
      </x:c>
    </x:row>
    <x:row r="329" ht="23" customHeight="1">
      <x:c r="A329" s="2" t="str">
        <x:f>'Invoices'!A329</x:f>
        <x:v>INV00325</x:v>
      </x:c>
      <x:c r="B329" s="2" t="str">
        <x:f>'Invoices'!B329</x:f>
        <x:v>C038</x:v>
      </x:c>
      <x:c r="C329" s="10" t="n">
        <x:f>'Invoices'!C329</x:f>
        <x:v>46279</x:v>
      </x:c>
      <x:c r="D329" s="10" t="n">
        <x:f>'Invoices'!D329</x:f>
        <x:v>46309</x:v>
      </x:c>
      <x:c r="E329" s="11" t="n">
        <x:f>'Invoices'!E329</x:f>
        <x:v>14898.45</x:v>
      </x:c>
      <x:c r="F329" s="11" t="n">
        <x:f>SUMIFS('Payments'!$E$5:$E$429,'Payments'!$B$5:$B$429,A329,'Payments'!$D$5:$D$429,"&lt;="&amp;'Start Here'!$B$5)</x:f>
        <x:v>0</x:v>
      </x:c>
      <x:c r="G329" s="11" t="n">
        <x:f>ROUND(E329-F329,2)</x:f>
        <x:v>14898.45</x:v>
      </x:c>
      <x:c r="H329" s="2" t="n">
        <x:f>IF(G329&gt;0,MAX(0,'Start Here'!$B$5-D329),0)</x:f>
        <x:v>0</x:v>
      </x:c>
      <x:c r="I329" s="2" t="str">
        <x:f>IF(G329=0,"Paid",IF(H329=0,"Current",IF(H329&lt;=30,"1-30",IF(H329&lt;=60,"31-60",IF(H329&lt;=90,"61-90","91+")))))</x:f>
        <x:v>Current</x:v>
      </x:c>
      <x:c r="J329" s="2" t="n">
        <x:f>IF(G329=0,0,IF(H329=0,1,IF(H329&lt;=30,2,IF(H329&lt;=60,3,IF(H329&lt;=90,4,5)))))</x:f>
        <x:v>1</x:v>
      </x:c>
      <x:c r="K329" s="2" t="str">
        <x:f>'Invoices'!F329</x:f>
        <x:v>Yes</x:v>
      </x:c>
      <x:c r="L329" s="10" t="n">
        <x:f>'Start Here'!$B$5</x:f>
        <x:v>46295</x:v>
      </x:c>
    </x:row>
    <x:row r="330" ht="23" customHeight="1">
      <x:c r="A330" s="2" t="str">
        <x:f>'Invoices'!A330</x:f>
        <x:v>INV00326</x:v>
      </x:c>
      <x:c r="B330" s="2" t="str">
        <x:f>'Invoices'!B330</x:f>
        <x:v>C004</x:v>
      </x:c>
      <x:c r="C330" s="10" t="n">
        <x:f>'Invoices'!C330</x:f>
        <x:v>46074</x:v>
      </x:c>
      <x:c r="D330" s="10" t="n">
        <x:f>'Invoices'!D330</x:f>
        <x:v>46104</x:v>
      </x:c>
      <x:c r="E330" s="11" t="n">
        <x:f>'Invoices'!E330</x:f>
        <x:v>10774.43</x:v>
      </x:c>
      <x:c r="F330" s="11" t="n">
        <x:f>SUMIFS('Payments'!$E$5:$E$429,'Payments'!$B$5:$B$429,A330,'Payments'!$D$5:$D$429,"&lt;="&amp;'Start Here'!$B$5)</x:f>
        <x:v>10774.43</x:v>
      </x:c>
      <x:c r="G330" s="11" t="n">
        <x:f>ROUND(E330-F330,2)</x:f>
        <x:v>0</x:v>
      </x:c>
      <x:c r="H330" s="2" t="n">
        <x:f>IF(G330&gt;0,MAX(0,'Start Here'!$B$5-D330),0)</x:f>
        <x:v>0</x:v>
      </x:c>
      <x:c r="I330" s="2" t="str">
        <x:f>IF(G330=0,"Paid",IF(H330=0,"Current",IF(H330&lt;=30,"1-30",IF(H330&lt;=60,"31-60",IF(H330&lt;=90,"61-90","91+")))))</x:f>
        <x:v>Paid</x:v>
      </x:c>
      <x:c r="J330" s="2" t="n">
        <x:f>IF(G330=0,0,IF(H330=0,1,IF(H330&lt;=30,2,IF(H330&lt;=60,3,IF(H330&lt;=90,4,5)))))</x:f>
        <x:v>0</x:v>
      </x:c>
      <x:c r="K330" s="2" t="str">
        <x:f>'Invoices'!F330</x:f>
        <x:v>No</x:v>
      </x:c>
      <x:c r="L330" s="10" t="n">
        <x:f>'Start Here'!$B$5</x:f>
        <x:v>46295</x:v>
      </x:c>
    </x:row>
    <x:row r="331" ht="23" customHeight="1">
      <x:c r="A331" s="2" t="str">
        <x:f>'Invoices'!A331</x:f>
        <x:v>INV00327</x:v>
      </x:c>
      <x:c r="B331" s="2" t="str">
        <x:f>'Invoices'!B331</x:f>
        <x:v>C024</x:v>
      </x:c>
      <x:c r="C331" s="10" t="n">
        <x:f>'Invoices'!C331</x:f>
        <x:v>46105</x:v>
      </x:c>
      <x:c r="D331" s="10" t="n">
        <x:f>'Invoices'!D331</x:f>
        <x:v>46135</x:v>
      </x:c>
      <x:c r="E331" s="11" t="n">
        <x:f>'Invoices'!E331</x:f>
        <x:v>12587.95</x:v>
      </x:c>
      <x:c r="F331" s="11" t="n">
        <x:f>SUMIFS('Payments'!$E$5:$E$429,'Payments'!$B$5:$B$429,A331,'Payments'!$D$5:$D$429,"&lt;="&amp;'Start Here'!$B$5)</x:f>
        <x:v>0</x:v>
      </x:c>
      <x:c r="G331" s="11" t="n">
        <x:f>ROUND(E331-F331,2)</x:f>
        <x:v>12587.95</x:v>
      </x:c>
      <x:c r="H331" s="2" t="n">
        <x:f>IF(G331&gt;0,MAX(0,'Start Here'!$B$5-D331),0)</x:f>
        <x:v>160</x:v>
      </x:c>
      <x:c r="I331" s="2" t="str">
        <x:f>IF(G331=0,"Paid",IF(H331=0,"Current",IF(H331&lt;=30,"1-30",IF(H331&lt;=60,"31-60",IF(H331&lt;=90,"61-90","91+")))))</x:f>
        <x:v>91+</x:v>
      </x:c>
      <x:c r="J331" s="2" t="n">
        <x:f>IF(G331=0,0,IF(H331=0,1,IF(H331&lt;=30,2,IF(H331&lt;=60,3,IF(H331&lt;=90,4,5)))))</x:f>
        <x:v>5</x:v>
      </x:c>
      <x:c r="K331" s="2" t="str">
        <x:f>'Invoices'!F331</x:f>
        <x:v>No</x:v>
      </x:c>
      <x:c r="L331" s="10" t="n">
        <x:f>'Start Here'!$B$5</x:f>
        <x:v>46295</x:v>
      </x:c>
    </x:row>
    <x:row r="332" ht="23" customHeight="1">
      <x:c r="A332" s="2" t="str">
        <x:f>'Invoices'!A332</x:f>
        <x:v>INV00328</x:v>
      </x:c>
      <x:c r="B332" s="2" t="str">
        <x:f>'Invoices'!B332</x:f>
        <x:v>C026</x:v>
      </x:c>
      <x:c r="C332" s="10" t="n">
        <x:f>'Invoices'!C332</x:f>
        <x:v>46079</x:v>
      </x:c>
      <x:c r="D332" s="10" t="n">
        <x:f>'Invoices'!D332</x:f>
        <x:v>46124</x:v>
      </x:c>
      <x:c r="E332" s="11" t="n">
        <x:f>'Invoices'!E332</x:f>
        <x:v>11805.48</x:v>
      </x:c>
      <x:c r="F332" s="11" t="n">
        <x:f>SUMIFS('Payments'!$E$5:$E$429,'Payments'!$B$5:$B$429,A332,'Payments'!$D$5:$D$429,"&lt;="&amp;'Start Here'!$B$5)</x:f>
        <x:v>11805.48</x:v>
      </x:c>
      <x:c r="G332" s="11" t="n">
        <x:f>ROUND(E332-F332,2)</x:f>
        <x:v>0</x:v>
      </x:c>
      <x:c r="H332" s="2" t="n">
        <x:f>IF(G332&gt;0,MAX(0,'Start Here'!$B$5-D332),0)</x:f>
        <x:v>0</x:v>
      </x:c>
      <x:c r="I332" s="2" t="str">
        <x:f>IF(G332=0,"Paid",IF(H332=0,"Current",IF(H332&lt;=30,"1-30",IF(H332&lt;=60,"31-60",IF(H332&lt;=90,"61-90","91+")))))</x:f>
        <x:v>Paid</x:v>
      </x:c>
      <x:c r="J332" s="2" t="n">
        <x:f>IF(G332=0,0,IF(H332=0,1,IF(H332&lt;=30,2,IF(H332&lt;=60,3,IF(H332&lt;=90,4,5)))))</x:f>
        <x:v>0</x:v>
      </x:c>
      <x:c r="K332" s="2" t="str">
        <x:f>'Invoices'!F332</x:f>
        <x:v>No</x:v>
      </x:c>
      <x:c r="L332" s="10" t="n">
        <x:f>'Start Here'!$B$5</x:f>
        <x:v>46295</x:v>
      </x:c>
    </x:row>
    <x:row r="333" ht="23" customHeight="1">
      <x:c r="A333" s="2" t="str">
        <x:f>'Invoices'!A333</x:f>
        <x:v>INV00329</x:v>
      </x:c>
      <x:c r="B333" s="2" t="str">
        <x:f>'Invoices'!B333</x:f>
        <x:v>C027</x:v>
      </x:c>
      <x:c r="C333" s="10" t="n">
        <x:f>'Invoices'!C333</x:f>
        <x:v>46263</x:v>
      </x:c>
      <x:c r="D333" s="10" t="n">
        <x:f>'Invoices'!D333</x:f>
        <x:v>46293</x:v>
      </x:c>
      <x:c r="E333" s="11" t="n">
        <x:f>'Invoices'!E333</x:f>
        <x:v>3934.4</x:v>
      </x:c>
      <x:c r="F333" s="11" t="n">
        <x:f>SUMIFS('Payments'!$E$5:$E$429,'Payments'!$B$5:$B$429,A333,'Payments'!$D$5:$D$429,"&lt;="&amp;'Start Here'!$B$5)</x:f>
        <x:v>0</x:v>
      </x:c>
      <x:c r="G333" s="11" t="n">
        <x:f>ROUND(E333-F333,2)</x:f>
        <x:v>3934.4</x:v>
      </x:c>
      <x:c r="H333" s="2" t="n">
        <x:f>IF(G333&gt;0,MAX(0,'Start Here'!$B$5-D333),0)</x:f>
        <x:v>2</x:v>
      </x:c>
      <x:c r="I333" s="2" t="str">
        <x:f>IF(G333=0,"Paid",IF(H333=0,"Current",IF(H333&lt;=30,"1-30",IF(H333&lt;=60,"31-60",IF(H333&lt;=90,"61-90","91+")))))</x:f>
        <x:v>1-30</x:v>
      </x:c>
      <x:c r="J333" s="2" t="n">
        <x:f>IF(G333=0,0,IF(H333=0,1,IF(H333&lt;=30,2,IF(H333&lt;=60,3,IF(H333&lt;=90,4,5)))))</x:f>
        <x:v>2</x:v>
      </x:c>
      <x:c r="K333" s="2" t="str">
        <x:f>'Invoices'!F333</x:f>
        <x:v>Yes</x:v>
      </x:c>
      <x:c r="L333" s="10" t="n">
        <x:f>'Start Here'!$B$5</x:f>
        <x:v>46295</x:v>
      </x:c>
    </x:row>
    <x:row r="334" ht="23" customHeight="1">
      <x:c r="A334" s="2" t="str">
        <x:f>'Invoices'!A334</x:f>
        <x:v>INV00330</x:v>
      </x:c>
      <x:c r="B334" s="2" t="str">
        <x:f>'Invoices'!B334</x:f>
        <x:v>C023</x:v>
      </x:c>
      <x:c r="C334" s="10" t="n">
        <x:f>'Invoices'!C334</x:f>
        <x:v>46027</x:v>
      </x:c>
      <x:c r="D334" s="10" t="n">
        <x:f>'Invoices'!D334</x:f>
        <x:v>46042</x:v>
      </x:c>
      <x:c r="E334" s="11" t="n">
        <x:f>'Invoices'!E334</x:f>
        <x:v>5873.71</x:v>
      </x:c>
      <x:c r="F334" s="11" t="n">
        <x:f>SUMIFS('Payments'!$E$5:$E$429,'Payments'!$B$5:$B$429,A334,'Payments'!$D$5:$D$429,"&lt;="&amp;'Start Here'!$B$5)</x:f>
        <x:v>5873.71</x:v>
      </x:c>
      <x:c r="G334" s="11" t="n">
        <x:f>ROUND(E334-F334,2)</x:f>
        <x:v>0</x:v>
      </x:c>
      <x:c r="H334" s="2" t="n">
        <x:f>IF(G334&gt;0,MAX(0,'Start Here'!$B$5-D334),0)</x:f>
        <x:v>0</x:v>
      </x:c>
      <x:c r="I334" s="2" t="str">
        <x:f>IF(G334=0,"Paid",IF(H334=0,"Current",IF(H334&lt;=30,"1-30",IF(H334&lt;=60,"31-60",IF(H334&lt;=90,"61-90","91+")))))</x:f>
        <x:v>Paid</x:v>
      </x:c>
      <x:c r="J334" s="2" t="n">
        <x:f>IF(G334=0,0,IF(H334=0,1,IF(H334&lt;=30,2,IF(H334&lt;=60,3,IF(H334&lt;=90,4,5)))))</x:f>
        <x:v>0</x:v>
      </x:c>
      <x:c r="K334" s="2" t="str">
        <x:f>'Invoices'!F334</x:f>
        <x:v>No</x:v>
      </x:c>
      <x:c r="L334" s="10" t="n">
        <x:f>'Start Here'!$B$5</x:f>
        <x:v>46295</x:v>
      </x:c>
    </x:row>
    <x:row r="335" ht="23" customHeight="1">
      <x:c r="A335" s="2" t="str">
        <x:f>'Invoices'!A335</x:f>
        <x:v>INV00331</x:v>
      </x:c>
      <x:c r="B335" s="2" t="str">
        <x:f>'Invoices'!B335</x:f>
        <x:v>C036</x:v>
      </x:c>
      <x:c r="C335" s="10" t="n">
        <x:f>'Invoices'!C335</x:f>
        <x:v>46284</x:v>
      </x:c>
      <x:c r="D335" s="10" t="n">
        <x:f>'Invoices'!D335</x:f>
        <x:v>46314</x:v>
      </x:c>
      <x:c r="E335" s="11" t="n">
        <x:f>'Invoices'!E335</x:f>
        <x:v>5810.11</x:v>
      </x:c>
      <x:c r="F335" s="11" t="n">
        <x:f>SUMIFS('Payments'!$E$5:$E$429,'Payments'!$B$5:$B$429,A335,'Payments'!$D$5:$D$429,"&lt;="&amp;'Start Here'!$B$5)</x:f>
        <x:v>0</x:v>
      </x:c>
      <x:c r="G335" s="11" t="n">
        <x:f>ROUND(E335-F335,2)</x:f>
        <x:v>5810.11</x:v>
      </x:c>
      <x:c r="H335" s="2" t="n">
        <x:f>IF(G335&gt;0,MAX(0,'Start Here'!$B$5-D335),0)</x:f>
        <x:v>0</x:v>
      </x:c>
      <x:c r="I335" s="2" t="str">
        <x:f>IF(G335=0,"Paid",IF(H335=0,"Current",IF(H335&lt;=30,"1-30",IF(H335&lt;=60,"31-60",IF(H335&lt;=90,"61-90","91+")))))</x:f>
        <x:v>Current</x:v>
      </x:c>
      <x:c r="J335" s="2" t="n">
        <x:f>IF(G335=0,0,IF(H335=0,1,IF(H335&lt;=30,2,IF(H335&lt;=60,3,IF(H335&lt;=90,4,5)))))</x:f>
        <x:v>1</x:v>
      </x:c>
      <x:c r="K335" s="2" t="str">
        <x:f>'Invoices'!F335</x:f>
        <x:v>No</x:v>
      </x:c>
      <x:c r="L335" s="10" t="n">
        <x:f>'Start Here'!$B$5</x:f>
        <x:v>46295</x:v>
      </x:c>
    </x:row>
    <x:row r="336" ht="23" customHeight="1">
      <x:c r="A336" s="2" t="str">
        <x:f>'Invoices'!A336</x:f>
        <x:v>INV00332</x:v>
      </x:c>
      <x:c r="B336" s="2" t="str">
        <x:f>'Invoices'!B336</x:f>
        <x:v>C005</x:v>
      </x:c>
      <x:c r="C336" s="10" t="n">
        <x:f>'Invoices'!C336</x:f>
        <x:v>46118</x:v>
      </x:c>
      <x:c r="D336" s="10" t="n">
        <x:f>'Invoices'!D336</x:f>
        <x:v>46163</x:v>
      </x:c>
      <x:c r="E336" s="11" t="n">
        <x:f>'Invoices'!E336</x:f>
        <x:v>12889.22</x:v>
      </x:c>
      <x:c r="F336" s="11" t="n">
        <x:f>SUMIFS('Payments'!$E$5:$E$429,'Payments'!$B$5:$B$429,A336,'Payments'!$D$5:$D$429,"&lt;="&amp;'Start Here'!$B$5)</x:f>
        <x:v>12889.22</x:v>
      </x:c>
      <x:c r="G336" s="11" t="n">
        <x:f>ROUND(E336-F336,2)</x:f>
        <x:v>0</x:v>
      </x:c>
      <x:c r="H336" s="2" t="n">
        <x:f>IF(G336&gt;0,MAX(0,'Start Here'!$B$5-D336),0)</x:f>
        <x:v>0</x:v>
      </x:c>
      <x:c r="I336" s="2" t="str">
        <x:f>IF(G336=0,"Paid",IF(H336=0,"Current",IF(H336&lt;=30,"1-30",IF(H336&lt;=60,"31-60",IF(H336&lt;=90,"61-90","91+")))))</x:f>
        <x:v>Paid</x:v>
      </x:c>
      <x:c r="J336" s="2" t="n">
        <x:f>IF(G336=0,0,IF(H336=0,1,IF(H336&lt;=30,2,IF(H336&lt;=60,3,IF(H336&lt;=90,4,5)))))</x:f>
        <x:v>0</x:v>
      </x:c>
      <x:c r="K336" s="2" t="str">
        <x:f>'Invoices'!F336</x:f>
        <x:v>No</x:v>
      </x:c>
      <x:c r="L336" s="10" t="n">
        <x:f>'Start Here'!$B$5</x:f>
        <x:v>46295</x:v>
      </x:c>
    </x:row>
    <x:row r="337" ht="23" customHeight="1">
      <x:c r="A337" s="2" t="str">
        <x:f>'Invoices'!A337</x:f>
        <x:v>INV00333</x:v>
      </x:c>
      <x:c r="B337" s="2" t="str">
        <x:f>'Invoices'!B337</x:f>
        <x:v>C032</x:v>
      </x:c>
      <x:c r="C337" s="10" t="n">
        <x:f>'Invoices'!C337</x:f>
        <x:v>46139</x:v>
      </x:c>
      <x:c r="D337" s="10" t="n">
        <x:f>'Invoices'!D337</x:f>
        <x:v>46169</x:v>
      </x:c>
      <x:c r="E337" s="11" t="n">
        <x:f>'Invoices'!E337</x:f>
        <x:v>12022.41</x:v>
      </x:c>
      <x:c r="F337" s="11" t="n">
        <x:f>SUMIFS('Payments'!$E$5:$E$429,'Payments'!$B$5:$B$429,A337,'Payments'!$D$5:$D$429,"&lt;="&amp;'Start Here'!$B$5)</x:f>
        <x:v>4207.84</x:v>
      </x:c>
      <x:c r="G337" s="11" t="n">
        <x:f>ROUND(E337-F337,2)</x:f>
        <x:v>7814.57</x:v>
      </x:c>
      <x:c r="H337" s="2" t="n">
        <x:f>IF(G337&gt;0,MAX(0,'Start Here'!$B$5-D337),0)</x:f>
        <x:v>126</x:v>
      </x:c>
      <x:c r="I337" s="2" t="str">
        <x:f>IF(G337=0,"Paid",IF(H337=0,"Current",IF(H337&lt;=30,"1-30",IF(H337&lt;=60,"31-60",IF(H337&lt;=90,"61-90","91+")))))</x:f>
        <x:v>91+</x:v>
      </x:c>
      <x:c r="J337" s="2" t="n">
        <x:f>IF(G337=0,0,IF(H337=0,1,IF(H337&lt;=30,2,IF(H337&lt;=60,3,IF(H337&lt;=90,4,5)))))</x:f>
        <x:v>5</x:v>
      </x:c>
      <x:c r="K337" s="2" t="str">
        <x:f>'Invoices'!F337</x:f>
        <x:v>Yes</x:v>
      </x:c>
      <x:c r="L337" s="10" t="n">
        <x:f>'Start Here'!$B$5</x:f>
        <x:v>46295</x:v>
      </x:c>
    </x:row>
    <x:row r="338" ht="23" customHeight="1">
      <x:c r="A338" s="2" t="str">
        <x:f>'Invoices'!A338</x:f>
        <x:v>INV00334</x:v>
      </x:c>
      <x:c r="B338" s="2" t="str">
        <x:f>'Invoices'!B338</x:f>
        <x:v>C037</x:v>
      </x:c>
      <x:c r="C338" s="10" t="n">
        <x:f>'Invoices'!C338</x:f>
        <x:v>46154</x:v>
      </x:c>
      <x:c r="D338" s="10" t="n">
        <x:f>'Invoices'!D338</x:f>
        <x:v>46169</x:v>
      </x:c>
      <x:c r="E338" s="11" t="n">
        <x:f>'Invoices'!E338</x:f>
        <x:v>6567.03</x:v>
      </x:c>
      <x:c r="F338" s="11" t="n">
        <x:f>SUMIFS('Payments'!$E$5:$E$429,'Payments'!$B$5:$B$429,A338,'Payments'!$D$5:$D$429,"&lt;="&amp;'Start Here'!$B$5)</x:f>
        <x:v>0</x:v>
      </x:c>
      <x:c r="G338" s="11" t="n">
        <x:f>ROUND(E338-F338,2)</x:f>
        <x:v>6567.03</x:v>
      </x:c>
      <x:c r="H338" s="2" t="n">
        <x:f>IF(G338&gt;0,MAX(0,'Start Here'!$B$5-D338),0)</x:f>
        <x:v>126</x:v>
      </x:c>
      <x:c r="I338" s="2" t="str">
        <x:f>IF(G338=0,"Paid",IF(H338=0,"Current",IF(H338&lt;=30,"1-30",IF(H338&lt;=60,"31-60",IF(H338&lt;=90,"61-90","91+")))))</x:f>
        <x:v>91+</x:v>
      </x:c>
      <x:c r="J338" s="2" t="n">
        <x:f>IF(G338=0,0,IF(H338=0,1,IF(H338&lt;=30,2,IF(H338&lt;=60,3,IF(H338&lt;=90,4,5)))))</x:f>
        <x:v>5</x:v>
      </x:c>
      <x:c r="K338" s="2" t="str">
        <x:f>'Invoices'!F338</x:f>
        <x:v>Yes</x:v>
      </x:c>
      <x:c r="L338" s="10" t="n">
        <x:f>'Start Here'!$B$5</x:f>
        <x:v>46295</x:v>
      </x:c>
    </x:row>
    <x:row r="339" ht="23" customHeight="1">
      <x:c r="A339" s="2" t="str">
        <x:f>'Invoices'!A339</x:f>
        <x:v>INV00335</x:v>
      </x:c>
      <x:c r="B339" s="2" t="str">
        <x:f>'Invoices'!B339</x:f>
        <x:v>C034</x:v>
      </x:c>
      <x:c r="C339" s="10" t="n">
        <x:f>'Invoices'!C339</x:f>
        <x:v>46226</x:v>
      </x:c>
      <x:c r="D339" s="10" t="n">
        <x:f>'Invoices'!D339</x:f>
        <x:v>46286</x:v>
      </x:c>
      <x:c r="E339" s="11" t="n">
        <x:f>'Invoices'!E339</x:f>
        <x:v>14014.82</x:v>
      </x:c>
      <x:c r="F339" s="11" t="n">
        <x:f>SUMIFS('Payments'!$E$5:$E$429,'Payments'!$B$5:$B$429,A339,'Payments'!$D$5:$D$429,"&lt;="&amp;'Start Here'!$B$5)</x:f>
        <x:v>0</x:v>
      </x:c>
      <x:c r="G339" s="11" t="n">
        <x:f>ROUND(E339-F339,2)</x:f>
        <x:v>14014.82</x:v>
      </x:c>
      <x:c r="H339" s="2" t="n">
        <x:f>IF(G339&gt;0,MAX(0,'Start Here'!$B$5-D339),0)</x:f>
        <x:v>9</x:v>
      </x:c>
      <x:c r="I339" s="2" t="str">
        <x:f>IF(G339=0,"Paid",IF(H339=0,"Current",IF(H339&lt;=30,"1-30",IF(H339&lt;=60,"31-60",IF(H339&lt;=90,"61-90","91+")))))</x:f>
        <x:v>1-30</x:v>
      </x:c>
      <x:c r="J339" s="2" t="n">
        <x:f>IF(G339=0,0,IF(H339=0,1,IF(H339&lt;=30,2,IF(H339&lt;=60,3,IF(H339&lt;=90,4,5)))))</x:f>
        <x:v>2</x:v>
      </x:c>
      <x:c r="K339" s="2" t="str">
        <x:f>'Invoices'!F339</x:f>
        <x:v>No</x:v>
      </x:c>
      <x:c r="L339" s="10" t="n">
        <x:f>'Start Here'!$B$5</x:f>
        <x:v>46295</x:v>
      </x:c>
    </x:row>
    <x:row r="340" ht="23" customHeight="1">
      <x:c r="A340" s="2" t="str">
        <x:f>'Invoices'!A340</x:f>
        <x:v>INV00336</x:v>
      </x:c>
      <x:c r="B340" s="2" t="str">
        <x:f>'Invoices'!B340</x:f>
        <x:v>C020</x:v>
      </x:c>
      <x:c r="C340" s="10" t="n">
        <x:f>'Invoices'!C340</x:f>
        <x:v>46127</x:v>
      </x:c>
      <x:c r="D340" s="10" t="n">
        <x:f>'Invoices'!D340</x:f>
        <x:v>46157</x:v>
      </x:c>
      <x:c r="E340" s="11" t="n">
        <x:f>'Invoices'!E340</x:f>
        <x:v>10508.45</x:v>
      </x:c>
      <x:c r="F340" s="11" t="n">
        <x:f>SUMIFS('Payments'!$E$5:$E$429,'Payments'!$B$5:$B$429,A340,'Payments'!$D$5:$D$429,"&lt;="&amp;'Start Here'!$B$5)</x:f>
        <x:v>10508.45</x:v>
      </x:c>
      <x:c r="G340" s="11" t="n">
        <x:f>ROUND(E340-F340,2)</x:f>
        <x:v>0</x:v>
      </x:c>
      <x:c r="H340" s="2" t="n">
        <x:f>IF(G340&gt;0,MAX(0,'Start Here'!$B$5-D340),0)</x:f>
        <x:v>0</x:v>
      </x:c>
      <x:c r="I340" s="2" t="str">
        <x:f>IF(G340=0,"Paid",IF(H340=0,"Current",IF(H340&lt;=30,"1-30",IF(H340&lt;=60,"31-60",IF(H340&lt;=90,"61-90","91+")))))</x:f>
        <x:v>Paid</x:v>
      </x:c>
      <x:c r="J340" s="2" t="n">
        <x:f>IF(G340=0,0,IF(H340=0,1,IF(H340&lt;=30,2,IF(H340&lt;=60,3,IF(H340&lt;=90,4,5)))))</x:f>
        <x:v>0</x:v>
      </x:c>
      <x:c r="K340" s="2" t="str">
        <x:f>'Invoices'!F340</x:f>
        <x:v>No</x:v>
      </x:c>
      <x:c r="L340" s="10" t="n">
        <x:f>'Start Here'!$B$5</x:f>
        <x:v>46295</x:v>
      </x:c>
    </x:row>
    <x:row r="341" ht="23" customHeight="1">
      <x:c r="A341" s="2" t="str">
        <x:f>'Invoices'!A341</x:f>
        <x:v>INV00337</x:v>
      </x:c>
      <x:c r="B341" s="2" t="str">
        <x:f>'Invoices'!B341</x:f>
        <x:v>C027</x:v>
      </x:c>
      <x:c r="C341" s="10" t="n">
        <x:f>'Invoices'!C341</x:f>
        <x:v>46211</x:v>
      </x:c>
      <x:c r="D341" s="10" t="n">
        <x:f>'Invoices'!D341</x:f>
        <x:v>46241</x:v>
      </x:c>
      <x:c r="E341" s="11" t="n">
        <x:f>'Invoices'!E341</x:f>
        <x:v>11398.81</x:v>
      </x:c>
      <x:c r="F341" s="11" t="n">
        <x:f>SUMIFS('Payments'!$E$5:$E$429,'Payments'!$B$5:$B$429,A341,'Payments'!$D$5:$D$429,"&lt;="&amp;'Start Here'!$B$5)</x:f>
        <x:v>0</x:v>
      </x:c>
      <x:c r="G341" s="11" t="n">
        <x:f>ROUND(E341-F341,2)</x:f>
        <x:v>11398.81</x:v>
      </x:c>
      <x:c r="H341" s="2" t="n">
        <x:f>IF(G341&gt;0,MAX(0,'Start Here'!$B$5-D341),0)</x:f>
        <x:v>54</x:v>
      </x:c>
      <x:c r="I341" s="2" t="str">
        <x:f>IF(G341=0,"Paid",IF(H341=0,"Current",IF(H341&lt;=30,"1-30",IF(H341&lt;=60,"31-60",IF(H341&lt;=90,"61-90","91+")))))</x:f>
        <x:v>31-60</x:v>
      </x:c>
      <x:c r="J341" s="2" t="n">
        <x:f>IF(G341=0,0,IF(H341=0,1,IF(H341&lt;=30,2,IF(H341&lt;=60,3,IF(H341&lt;=90,4,5)))))</x:f>
        <x:v>3</x:v>
      </x:c>
      <x:c r="K341" s="2" t="str">
        <x:f>'Invoices'!F341</x:f>
        <x:v>No</x:v>
      </x:c>
      <x:c r="L341" s="10" t="n">
        <x:f>'Start Here'!$B$5</x:f>
        <x:v>46295</x:v>
      </x:c>
    </x:row>
    <x:row r="342" ht="23" customHeight="1">
      <x:c r="A342" s="2" t="str">
        <x:f>'Invoices'!A342</x:f>
        <x:v>INV00338</x:v>
      </x:c>
      <x:c r="B342" s="2" t="str">
        <x:f>'Invoices'!B342</x:f>
        <x:v>C017</x:v>
      </x:c>
      <x:c r="C342" s="10" t="n">
        <x:f>'Invoices'!C342</x:f>
        <x:v>46026</x:v>
      </x:c>
      <x:c r="D342" s="10" t="n">
        <x:f>'Invoices'!D342</x:f>
        <x:v>46041</x:v>
      </x:c>
      <x:c r="E342" s="11" t="n">
        <x:f>'Invoices'!E342</x:f>
        <x:v>3708.91</x:v>
      </x:c>
      <x:c r="F342" s="11" t="n">
        <x:f>SUMIFS('Payments'!$E$5:$E$429,'Payments'!$B$5:$B$429,A342,'Payments'!$D$5:$D$429,"&lt;="&amp;'Start Here'!$B$5)</x:f>
        <x:v>3708.91</x:v>
      </x:c>
      <x:c r="G342" s="11" t="n">
        <x:f>ROUND(E342-F342,2)</x:f>
        <x:v>0</x:v>
      </x:c>
      <x:c r="H342" s="2" t="n">
        <x:f>IF(G342&gt;0,MAX(0,'Start Here'!$B$5-D342),0)</x:f>
        <x:v>0</x:v>
      </x:c>
      <x:c r="I342" s="2" t="str">
        <x:f>IF(G342=0,"Paid",IF(H342=0,"Current",IF(H342&lt;=30,"1-30",IF(H342&lt;=60,"31-60",IF(H342&lt;=90,"61-90","91+")))))</x:f>
        <x:v>Paid</x:v>
      </x:c>
      <x:c r="J342" s="2" t="n">
        <x:f>IF(G342=0,0,IF(H342=0,1,IF(H342&lt;=30,2,IF(H342&lt;=60,3,IF(H342&lt;=90,4,5)))))</x:f>
        <x:v>0</x:v>
      </x:c>
      <x:c r="K342" s="2" t="str">
        <x:f>'Invoices'!F342</x:f>
        <x:v>No</x:v>
      </x:c>
      <x:c r="L342" s="10" t="n">
        <x:f>'Start Here'!$B$5</x:f>
        <x:v>46295</x:v>
      </x:c>
    </x:row>
    <x:row r="343" ht="23" customHeight="1">
      <x:c r="A343" s="2" t="str">
        <x:f>'Invoices'!A343</x:f>
        <x:v>INV00339</x:v>
      </x:c>
      <x:c r="B343" s="2" t="str">
        <x:f>'Invoices'!B343</x:f>
        <x:v>C023</x:v>
      </x:c>
      <x:c r="C343" s="10" t="n">
        <x:f>'Invoices'!C343</x:f>
        <x:v>46159</x:v>
      </x:c>
      <x:c r="D343" s="10" t="n">
        <x:f>'Invoices'!D343</x:f>
        <x:v>46174</x:v>
      </x:c>
      <x:c r="E343" s="11" t="n">
        <x:f>'Invoices'!E343</x:f>
        <x:v>17500.3</x:v>
      </x:c>
      <x:c r="F343" s="11" t="n">
        <x:f>SUMIFS('Payments'!$E$5:$E$429,'Payments'!$B$5:$B$429,A343,'Payments'!$D$5:$D$429,"&lt;="&amp;'Start Here'!$B$5)</x:f>
        <x:v>17500.3</x:v>
      </x:c>
      <x:c r="G343" s="11" t="n">
        <x:f>ROUND(E343-F343,2)</x:f>
        <x:v>0</x:v>
      </x:c>
      <x:c r="H343" s="2" t="n">
        <x:f>IF(G343&gt;0,MAX(0,'Start Here'!$B$5-D343),0)</x:f>
        <x:v>0</x:v>
      </x:c>
      <x:c r="I343" s="2" t="str">
        <x:f>IF(G343=0,"Paid",IF(H343=0,"Current",IF(H343&lt;=30,"1-30",IF(H343&lt;=60,"31-60",IF(H343&lt;=90,"61-90","91+")))))</x:f>
        <x:v>Paid</x:v>
      </x:c>
      <x:c r="J343" s="2" t="n">
        <x:f>IF(G343=0,0,IF(H343=0,1,IF(H343&lt;=30,2,IF(H343&lt;=60,3,IF(H343&lt;=90,4,5)))))</x:f>
        <x:v>0</x:v>
      </x:c>
      <x:c r="K343" s="2" t="str">
        <x:f>'Invoices'!F343</x:f>
        <x:v>No</x:v>
      </x:c>
      <x:c r="L343" s="10" t="n">
        <x:f>'Start Here'!$B$5</x:f>
        <x:v>46295</x:v>
      </x:c>
    </x:row>
    <x:row r="344" ht="23" customHeight="1">
      <x:c r="A344" s="2" t="str">
        <x:f>'Invoices'!A344</x:f>
        <x:v>INV00340</x:v>
      </x:c>
      <x:c r="B344" s="2" t="str">
        <x:f>'Invoices'!B344</x:f>
        <x:v>C022</x:v>
      </x:c>
      <x:c r="C344" s="10" t="n">
        <x:f>'Invoices'!C344</x:f>
        <x:v>46230</x:v>
      </x:c>
      <x:c r="D344" s="10" t="n">
        <x:f>'Invoices'!D344</x:f>
        <x:v>46260</x:v>
      </x:c>
      <x:c r="E344" s="11" t="n">
        <x:f>'Invoices'!E344</x:f>
        <x:v>10599.28</x:v>
      </x:c>
      <x:c r="F344" s="11" t="n">
        <x:f>SUMIFS('Payments'!$E$5:$E$429,'Payments'!$B$5:$B$429,A344,'Payments'!$D$5:$D$429,"&lt;="&amp;'Start Here'!$B$5)</x:f>
        <x:v>10599.28</x:v>
      </x:c>
      <x:c r="G344" s="11" t="n">
        <x:f>ROUND(E344-F344,2)</x:f>
        <x:v>0</x:v>
      </x:c>
      <x:c r="H344" s="2" t="n">
        <x:f>IF(G344&gt;0,MAX(0,'Start Here'!$B$5-D344),0)</x:f>
        <x:v>0</x:v>
      </x:c>
      <x:c r="I344" s="2" t="str">
        <x:f>IF(G344=0,"Paid",IF(H344=0,"Current",IF(H344&lt;=30,"1-30",IF(H344&lt;=60,"31-60",IF(H344&lt;=90,"61-90","91+")))))</x:f>
        <x:v>Paid</x:v>
      </x:c>
      <x:c r="J344" s="2" t="n">
        <x:f>IF(G344=0,0,IF(H344=0,1,IF(H344&lt;=30,2,IF(H344&lt;=60,3,IF(H344&lt;=90,4,5)))))</x:f>
        <x:v>0</x:v>
      </x:c>
      <x:c r="K344" s="2" t="str">
        <x:f>'Invoices'!F344</x:f>
        <x:v>No</x:v>
      </x:c>
      <x:c r="L344" s="10" t="n">
        <x:f>'Start Here'!$B$5</x:f>
        <x:v>46295</x:v>
      </x:c>
    </x:row>
    <x:row r="345" ht="23" customHeight="1">
      <x:c r="A345" s="2" t="str">
        <x:f>'Invoices'!A345</x:f>
        <x:v>INV00341</x:v>
      </x:c>
      <x:c r="B345" s="2" t="str">
        <x:f>'Invoices'!B345</x:f>
        <x:v>C002</x:v>
      </x:c>
      <x:c r="C345" s="10" t="n">
        <x:f>'Invoices'!C345</x:f>
        <x:v>46070</x:v>
      </x:c>
      <x:c r="D345" s="10" t="n">
        <x:f>'Invoices'!D345</x:f>
        <x:v>46130</x:v>
      </x:c>
      <x:c r="E345" s="11" t="n">
        <x:f>'Invoices'!E345</x:f>
        <x:v>4086.08</x:v>
      </x:c>
      <x:c r="F345" s="11" t="n">
        <x:f>SUMIFS('Payments'!$E$5:$E$429,'Payments'!$B$5:$B$429,A345,'Payments'!$D$5:$D$429,"&lt;="&amp;'Start Here'!$B$5)</x:f>
        <x:v>4086.08</x:v>
      </x:c>
      <x:c r="G345" s="11" t="n">
        <x:f>ROUND(E345-F345,2)</x:f>
        <x:v>0</x:v>
      </x:c>
      <x:c r="H345" s="2" t="n">
        <x:f>IF(G345&gt;0,MAX(0,'Start Here'!$B$5-D345),0)</x:f>
        <x:v>0</x:v>
      </x:c>
      <x:c r="I345" s="2" t="str">
        <x:f>IF(G345=0,"Paid",IF(H345=0,"Current",IF(H345&lt;=30,"1-30",IF(H345&lt;=60,"31-60",IF(H345&lt;=90,"61-90","91+")))))</x:f>
        <x:v>Paid</x:v>
      </x:c>
      <x:c r="J345" s="2" t="n">
        <x:f>IF(G345=0,0,IF(H345=0,1,IF(H345&lt;=30,2,IF(H345&lt;=60,3,IF(H345&lt;=90,4,5)))))</x:f>
        <x:v>0</x:v>
      </x:c>
      <x:c r="K345" s="2" t="str">
        <x:f>'Invoices'!F345</x:f>
        <x:v>No</x:v>
      </x:c>
      <x:c r="L345" s="10" t="n">
        <x:f>'Start Here'!$B$5</x:f>
        <x:v>46295</x:v>
      </x:c>
    </x:row>
    <x:row r="346" ht="23" customHeight="1">
      <x:c r="A346" s="2" t="str">
        <x:f>'Invoices'!A346</x:f>
        <x:v>INV00342</x:v>
      </x:c>
      <x:c r="B346" s="2" t="str">
        <x:f>'Invoices'!B346</x:f>
        <x:v>C007</x:v>
      </x:c>
      <x:c r="C346" s="10" t="n">
        <x:f>'Invoices'!C346</x:f>
        <x:v>46099</x:v>
      </x:c>
      <x:c r="D346" s="10" t="n">
        <x:f>'Invoices'!D346</x:f>
        <x:v>46129</x:v>
      </x:c>
      <x:c r="E346" s="11" t="n">
        <x:f>'Invoices'!E346</x:f>
        <x:v>10273.48</x:v>
      </x:c>
      <x:c r="F346" s="11" t="n">
        <x:f>SUMIFS('Payments'!$E$5:$E$429,'Payments'!$B$5:$B$429,A346,'Payments'!$D$5:$D$429,"&lt;="&amp;'Start Here'!$B$5)</x:f>
        <x:v>10273.48</x:v>
      </x:c>
      <x:c r="G346" s="11" t="n">
        <x:f>ROUND(E346-F346,2)</x:f>
        <x:v>0</x:v>
      </x:c>
      <x:c r="H346" s="2" t="n">
        <x:f>IF(G346&gt;0,MAX(0,'Start Here'!$B$5-D346),0)</x:f>
        <x:v>0</x:v>
      </x:c>
      <x:c r="I346" s="2" t="str">
        <x:f>IF(G346=0,"Paid",IF(H346=0,"Current",IF(H346&lt;=30,"1-30",IF(H346&lt;=60,"31-60",IF(H346&lt;=90,"61-90","91+")))))</x:f>
        <x:v>Paid</x:v>
      </x:c>
      <x:c r="J346" s="2" t="n">
        <x:f>IF(G346=0,0,IF(H346=0,1,IF(H346&lt;=30,2,IF(H346&lt;=60,3,IF(H346&lt;=90,4,5)))))</x:f>
        <x:v>0</x:v>
      </x:c>
      <x:c r="K346" s="2" t="str">
        <x:f>'Invoices'!F346</x:f>
        <x:v>No</x:v>
      </x:c>
      <x:c r="L346" s="10" t="n">
        <x:f>'Start Here'!$B$5</x:f>
        <x:v>46295</x:v>
      </x:c>
    </x:row>
    <x:row r="347" ht="23" customHeight="1">
      <x:c r="A347" s="2" t="str">
        <x:f>'Invoices'!A347</x:f>
        <x:v>INV00343</x:v>
      </x:c>
      <x:c r="B347" s="2" t="str">
        <x:f>'Invoices'!B347</x:f>
        <x:v>C001</x:v>
      </x:c>
      <x:c r="C347" s="10" t="n">
        <x:f>'Invoices'!C347</x:f>
        <x:v>46112</x:v>
      </x:c>
      <x:c r="D347" s="10" t="n">
        <x:f>'Invoices'!D347</x:f>
        <x:v>46127</x:v>
      </x:c>
      <x:c r="E347" s="11" t="n">
        <x:f>'Invoices'!E347</x:f>
        <x:v>17938.84</x:v>
      </x:c>
      <x:c r="F347" s="11" t="n">
        <x:f>SUMIFS('Payments'!$E$5:$E$429,'Payments'!$B$5:$B$429,A347,'Payments'!$D$5:$D$429,"&lt;="&amp;'Start Here'!$B$5)</x:f>
        <x:v>17938.84</x:v>
      </x:c>
      <x:c r="G347" s="11" t="n">
        <x:f>ROUND(E347-F347,2)</x:f>
        <x:v>0</x:v>
      </x:c>
      <x:c r="H347" s="2" t="n">
        <x:f>IF(G347&gt;0,MAX(0,'Start Here'!$B$5-D347),0)</x:f>
        <x:v>0</x:v>
      </x:c>
      <x:c r="I347" s="2" t="str">
        <x:f>IF(G347=0,"Paid",IF(H347=0,"Current",IF(H347&lt;=30,"1-30",IF(H347&lt;=60,"31-60",IF(H347&lt;=90,"61-90","91+")))))</x:f>
        <x:v>Paid</x:v>
      </x:c>
      <x:c r="J347" s="2" t="n">
        <x:f>IF(G347=0,0,IF(H347=0,1,IF(H347&lt;=30,2,IF(H347&lt;=60,3,IF(H347&lt;=90,4,5)))))</x:f>
        <x:v>0</x:v>
      </x:c>
      <x:c r="K347" s="2" t="str">
        <x:f>'Invoices'!F347</x:f>
        <x:v>No</x:v>
      </x:c>
      <x:c r="L347" s="10" t="n">
        <x:f>'Start Here'!$B$5</x:f>
        <x:v>46295</x:v>
      </x:c>
    </x:row>
    <x:row r="348" ht="23" customHeight="1">
      <x:c r="A348" s="2" t="str">
        <x:f>'Invoices'!A348</x:f>
        <x:v>INV00344</x:v>
      </x:c>
      <x:c r="B348" s="2" t="str">
        <x:f>'Invoices'!B348</x:f>
        <x:v>C024</x:v>
      </x:c>
      <x:c r="C348" s="10" t="n">
        <x:f>'Invoices'!C348</x:f>
        <x:v>46240</x:v>
      </x:c>
      <x:c r="D348" s="10" t="n">
        <x:f>'Invoices'!D348</x:f>
        <x:v>46270</x:v>
      </x:c>
      <x:c r="E348" s="11" t="n">
        <x:f>'Invoices'!E348</x:f>
        <x:v>18831.41</x:v>
      </x:c>
      <x:c r="F348" s="11" t="n">
        <x:f>SUMIFS('Payments'!$E$5:$E$429,'Payments'!$B$5:$B$429,A348,'Payments'!$D$5:$D$429,"&lt;="&amp;'Start Here'!$B$5)</x:f>
        <x:v>9415.71</x:v>
      </x:c>
      <x:c r="G348" s="11" t="n">
        <x:f>ROUND(E348-F348,2)</x:f>
        <x:v>9415.7</x:v>
      </x:c>
      <x:c r="H348" s="2" t="n">
        <x:f>IF(G348&gt;0,MAX(0,'Start Here'!$B$5-D348),0)</x:f>
        <x:v>25</x:v>
      </x:c>
      <x:c r="I348" s="2" t="str">
        <x:f>IF(G348=0,"Paid",IF(H348=0,"Current",IF(H348&lt;=30,"1-30",IF(H348&lt;=60,"31-60",IF(H348&lt;=90,"61-90","91+")))))</x:f>
        <x:v>1-30</x:v>
      </x:c>
      <x:c r="J348" s="2" t="n">
        <x:f>IF(G348=0,0,IF(H348=0,1,IF(H348&lt;=30,2,IF(H348&lt;=60,3,IF(H348&lt;=90,4,5)))))</x:f>
        <x:v>2</x:v>
      </x:c>
      <x:c r="K348" s="2" t="str">
        <x:f>'Invoices'!F348</x:f>
        <x:v>No</x:v>
      </x:c>
      <x:c r="L348" s="10" t="n">
        <x:f>'Start Here'!$B$5</x:f>
        <x:v>46295</x:v>
      </x:c>
    </x:row>
    <x:row r="349" ht="23" customHeight="1">
      <x:c r="A349" s="2" t="str">
        <x:f>'Invoices'!A349</x:f>
        <x:v>INV00345</x:v>
      </x:c>
      <x:c r="B349" s="2" t="str">
        <x:f>'Invoices'!B349</x:f>
        <x:v>C024</x:v>
      </x:c>
      <x:c r="C349" s="10" t="n">
        <x:f>'Invoices'!C349</x:f>
        <x:v>46217</x:v>
      </x:c>
      <x:c r="D349" s="10" t="n">
        <x:f>'Invoices'!D349</x:f>
        <x:v>46277</x:v>
      </x:c>
      <x:c r="E349" s="11" t="n">
        <x:f>'Invoices'!E349</x:f>
        <x:v>17979.5</x:v>
      </x:c>
      <x:c r="F349" s="11" t="n">
        <x:f>SUMIFS('Payments'!$E$5:$E$429,'Payments'!$B$5:$B$429,A349,'Payments'!$D$5:$D$429,"&lt;="&amp;'Start Here'!$B$5)</x:f>
        <x:v>5393.85</x:v>
      </x:c>
      <x:c r="G349" s="11" t="n">
        <x:f>ROUND(E349-F349,2)</x:f>
        <x:v>12585.65</x:v>
      </x:c>
      <x:c r="H349" s="2" t="n">
        <x:f>IF(G349&gt;0,MAX(0,'Start Here'!$B$5-D349),0)</x:f>
        <x:v>18</x:v>
      </x:c>
      <x:c r="I349" s="2" t="str">
        <x:f>IF(G349=0,"Paid",IF(H349=0,"Current",IF(H349&lt;=30,"1-30",IF(H349&lt;=60,"31-60",IF(H349&lt;=90,"61-90","91+")))))</x:f>
        <x:v>1-30</x:v>
      </x:c>
      <x:c r="J349" s="2" t="n">
        <x:f>IF(G349=0,0,IF(H349=0,1,IF(H349&lt;=30,2,IF(H349&lt;=60,3,IF(H349&lt;=90,4,5)))))</x:f>
        <x:v>2</x:v>
      </x:c>
      <x:c r="K349" s="2" t="str">
        <x:f>'Invoices'!F349</x:f>
        <x:v>No</x:v>
      </x:c>
      <x:c r="L349" s="10" t="n">
        <x:f>'Start Here'!$B$5</x:f>
        <x:v>46295</x:v>
      </x:c>
    </x:row>
    <x:row r="350" ht="23" customHeight="1">
      <x:c r="A350" s="2" t="str">
        <x:f>'Invoices'!A350</x:f>
        <x:v>INV00346</x:v>
      </x:c>
      <x:c r="B350" s="2" t="str">
        <x:f>'Invoices'!B350</x:f>
        <x:v>C016</x:v>
      </x:c>
      <x:c r="C350" s="10" t="n">
        <x:f>'Invoices'!C350</x:f>
        <x:v>46096</x:v>
      </x:c>
      <x:c r="D350" s="10" t="n">
        <x:f>'Invoices'!D350</x:f>
        <x:v>46126</x:v>
      </x:c>
      <x:c r="E350" s="11" t="n">
        <x:f>'Invoices'!E350</x:f>
        <x:v>11117.92</x:v>
      </x:c>
      <x:c r="F350" s="11" t="n">
        <x:f>SUMIFS('Payments'!$E$5:$E$429,'Payments'!$B$5:$B$429,A350,'Payments'!$D$5:$D$429,"&lt;="&amp;'Start Here'!$B$5)</x:f>
        <x:v>11117.92</x:v>
      </x:c>
      <x:c r="G350" s="11" t="n">
        <x:f>ROUND(E350-F350,2)</x:f>
        <x:v>0</x:v>
      </x:c>
      <x:c r="H350" s="2" t="n">
        <x:f>IF(G350&gt;0,MAX(0,'Start Here'!$B$5-D350),0)</x:f>
        <x:v>0</x:v>
      </x:c>
      <x:c r="I350" s="2" t="str">
        <x:f>IF(G350=0,"Paid",IF(H350=0,"Current",IF(H350&lt;=30,"1-30",IF(H350&lt;=60,"31-60",IF(H350&lt;=90,"61-90","91+")))))</x:f>
        <x:v>Paid</x:v>
      </x:c>
      <x:c r="J350" s="2" t="n">
        <x:f>IF(G350=0,0,IF(H350=0,1,IF(H350&lt;=30,2,IF(H350&lt;=60,3,IF(H350&lt;=90,4,5)))))</x:f>
        <x:v>0</x:v>
      </x:c>
      <x:c r="K350" s="2" t="str">
        <x:f>'Invoices'!F350</x:f>
        <x:v>No</x:v>
      </x:c>
      <x:c r="L350" s="10" t="n">
        <x:f>'Start Here'!$B$5</x:f>
        <x:v>46295</x:v>
      </x:c>
    </x:row>
    <x:row r="351" ht="23" customHeight="1">
      <x:c r="A351" s="2" t="str">
        <x:f>'Invoices'!A351</x:f>
        <x:v>INV00347</x:v>
      </x:c>
      <x:c r="B351" s="2" t="str">
        <x:f>'Invoices'!B351</x:f>
        <x:v>C018</x:v>
      </x:c>
      <x:c r="C351" s="10" t="n">
        <x:f>'Invoices'!C351</x:f>
        <x:v>46030</x:v>
      </x:c>
      <x:c r="D351" s="10" t="n">
        <x:f>'Invoices'!D351</x:f>
        <x:v>46045</x:v>
      </x:c>
      <x:c r="E351" s="11" t="n">
        <x:f>'Invoices'!E351</x:f>
        <x:v>19833.26</x:v>
      </x:c>
      <x:c r="F351" s="11" t="n">
        <x:f>SUMIFS('Payments'!$E$5:$E$429,'Payments'!$B$5:$B$429,A351,'Payments'!$D$5:$D$429,"&lt;="&amp;'Start Here'!$B$5)</x:f>
        <x:v>19833.26</x:v>
      </x:c>
      <x:c r="G351" s="11" t="n">
        <x:f>ROUND(E351-F351,2)</x:f>
        <x:v>0</x:v>
      </x:c>
      <x:c r="H351" s="2" t="n">
        <x:f>IF(G351&gt;0,MAX(0,'Start Here'!$B$5-D351),0)</x:f>
        <x:v>0</x:v>
      </x:c>
      <x:c r="I351" s="2" t="str">
        <x:f>IF(G351=0,"Paid",IF(H351=0,"Current",IF(H351&lt;=30,"1-30",IF(H351&lt;=60,"31-60",IF(H351&lt;=90,"61-90","91+")))))</x:f>
        <x:v>Paid</x:v>
      </x:c>
      <x:c r="J351" s="2" t="n">
        <x:f>IF(G351=0,0,IF(H351=0,1,IF(H351&lt;=30,2,IF(H351&lt;=60,3,IF(H351&lt;=90,4,5)))))</x:f>
        <x:v>0</x:v>
      </x:c>
      <x:c r="K351" s="2" t="str">
        <x:f>'Invoices'!F351</x:f>
        <x:v>No</x:v>
      </x:c>
      <x:c r="L351" s="10" t="n">
        <x:f>'Start Here'!$B$5</x:f>
        <x:v>46295</x:v>
      </x:c>
    </x:row>
    <x:row r="352" ht="23" customHeight="1">
      <x:c r="A352" s="2" t="str">
        <x:f>'Invoices'!A352</x:f>
        <x:v>INV00348</x:v>
      </x:c>
      <x:c r="B352" s="2" t="str">
        <x:f>'Invoices'!B352</x:f>
        <x:v>C036</x:v>
      </x:c>
      <x:c r="C352" s="10" t="n">
        <x:f>'Invoices'!C352</x:f>
        <x:v>46202</x:v>
      </x:c>
      <x:c r="D352" s="10" t="n">
        <x:f>'Invoices'!D352</x:f>
        <x:v>46217</x:v>
      </x:c>
      <x:c r="E352" s="11" t="n">
        <x:f>'Invoices'!E352</x:f>
        <x:v>9320.6</x:v>
      </x:c>
      <x:c r="F352" s="11" t="n">
        <x:f>SUMIFS('Payments'!$E$5:$E$429,'Payments'!$B$5:$B$429,A352,'Payments'!$D$5:$D$429,"&lt;="&amp;'Start Here'!$B$5)</x:f>
        <x:v>9320.6</x:v>
      </x:c>
      <x:c r="G352" s="11" t="n">
        <x:f>ROUND(E352-F352,2)</x:f>
        <x:v>0</x:v>
      </x:c>
      <x:c r="H352" s="2" t="n">
        <x:f>IF(G352&gt;0,MAX(0,'Start Here'!$B$5-D352),0)</x:f>
        <x:v>0</x:v>
      </x:c>
      <x:c r="I352" s="2" t="str">
        <x:f>IF(G352=0,"Paid",IF(H352=0,"Current",IF(H352&lt;=30,"1-30",IF(H352&lt;=60,"31-60",IF(H352&lt;=90,"61-90","91+")))))</x:f>
        <x:v>Paid</x:v>
      </x:c>
      <x:c r="J352" s="2" t="n">
        <x:f>IF(G352=0,0,IF(H352=0,1,IF(H352&lt;=30,2,IF(H352&lt;=60,3,IF(H352&lt;=90,4,5)))))</x:f>
        <x:v>0</x:v>
      </x:c>
      <x:c r="K352" s="2" t="str">
        <x:f>'Invoices'!F352</x:f>
        <x:v>No</x:v>
      </x:c>
      <x:c r="L352" s="10" t="n">
        <x:f>'Start Here'!$B$5</x:f>
        <x:v>46295</x:v>
      </x:c>
    </x:row>
    <x:row r="353" ht="23" customHeight="1">
      <x:c r="A353" s="2" t="str">
        <x:f>'Invoices'!A353</x:f>
        <x:v>INV00349</x:v>
      </x:c>
      <x:c r="B353" s="2" t="str">
        <x:f>'Invoices'!B353</x:f>
        <x:v>C027</x:v>
      </x:c>
      <x:c r="C353" s="10" t="n">
        <x:f>'Invoices'!C353</x:f>
        <x:v>46205</x:v>
      </x:c>
      <x:c r="D353" s="10" t="n">
        <x:f>'Invoices'!D353</x:f>
        <x:v>46235</x:v>
      </x:c>
      <x:c r="E353" s="11" t="n">
        <x:f>'Invoices'!E353</x:f>
        <x:v>12016.09</x:v>
      </x:c>
      <x:c r="F353" s="11" t="n">
        <x:f>SUMIFS('Payments'!$E$5:$E$429,'Payments'!$B$5:$B$429,A353,'Payments'!$D$5:$D$429,"&lt;="&amp;'Start Here'!$B$5)</x:f>
        <x:v>12016.09</x:v>
      </x:c>
      <x:c r="G353" s="11" t="n">
        <x:f>ROUND(E353-F353,2)</x:f>
        <x:v>0</x:v>
      </x:c>
      <x:c r="H353" s="2" t="n">
        <x:f>IF(G353&gt;0,MAX(0,'Start Here'!$B$5-D353),0)</x:f>
        <x:v>0</x:v>
      </x:c>
      <x:c r="I353" s="2" t="str">
        <x:f>IF(G353=0,"Paid",IF(H353=0,"Current",IF(H353&lt;=30,"1-30",IF(H353&lt;=60,"31-60",IF(H353&lt;=90,"61-90","91+")))))</x:f>
        <x:v>Paid</x:v>
      </x:c>
      <x:c r="J353" s="2" t="n">
        <x:f>IF(G353=0,0,IF(H353=0,1,IF(H353&lt;=30,2,IF(H353&lt;=60,3,IF(H353&lt;=90,4,5)))))</x:f>
        <x:v>0</x:v>
      </x:c>
      <x:c r="K353" s="2" t="str">
        <x:f>'Invoices'!F353</x:f>
        <x:v>No</x:v>
      </x:c>
      <x:c r="L353" s="10" t="n">
        <x:f>'Start Here'!$B$5</x:f>
        <x:v>46295</x:v>
      </x:c>
    </x:row>
    <x:row r="354" ht="23" customHeight="1">
      <x:c r="A354" s="2" t="str">
        <x:f>'Invoices'!A354</x:f>
        <x:v>INV00350</x:v>
      </x:c>
      <x:c r="B354" s="2" t="str">
        <x:f>'Invoices'!B354</x:f>
        <x:v>C007</x:v>
      </x:c>
      <x:c r="C354" s="10" t="n">
        <x:f>'Invoices'!C354</x:f>
        <x:v>46102</x:v>
      </x:c>
      <x:c r="D354" s="10" t="n">
        <x:f>'Invoices'!D354</x:f>
        <x:v>46132</x:v>
      </x:c>
      <x:c r="E354" s="11" t="n">
        <x:f>'Invoices'!E354</x:f>
        <x:v>13822.64</x:v>
      </x:c>
      <x:c r="F354" s="11" t="n">
        <x:f>SUMIFS('Payments'!$E$5:$E$429,'Payments'!$B$5:$B$429,A354,'Payments'!$D$5:$D$429,"&lt;="&amp;'Start Here'!$B$5)</x:f>
        <x:v>13822.64</x:v>
      </x:c>
      <x:c r="G354" s="11" t="n">
        <x:f>ROUND(E354-F354,2)</x:f>
        <x:v>0</x:v>
      </x:c>
      <x:c r="H354" s="2" t="n">
        <x:f>IF(G354&gt;0,MAX(0,'Start Here'!$B$5-D354),0)</x:f>
        <x:v>0</x:v>
      </x:c>
      <x:c r="I354" s="2" t="str">
        <x:f>IF(G354=0,"Paid",IF(H354=0,"Current",IF(H354&lt;=30,"1-30",IF(H354&lt;=60,"31-60",IF(H354&lt;=90,"61-90","91+")))))</x:f>
        <x:v>Paid</x:v>
      </x:c>
      <x:c r="J354" s="2" t="n">
        <x:f>IF(G354=0,0,IF(H354=0,1,IF(H354&lt;=30,2,IF(H354&lt;=60,3,IF(H354&lt;=90,4,5)))))</x:f>
        <x:v>0</x:v>
      </x:c>
      <x:c r="K354" s="2" t="str">
        <x:f>'Invoices'!F354</x:f>
        <x:v>No</x:v>
      </x:c>
      <x:c r="L354" s="10" t="n">
        <x:f>'Start Here'!$B$5</x:f>
        <x:v>46295</x:v>
      </x:c>
    </x:row>
    <x:row r="355" ht="23" customHeight="1">
      <x:c r="A355" s="2" t="str">
        <x:f>'Invoices'!A355</x:f>
        <x:v>INV00351</x:v>
      </x:c>
      <x:c r="B355" s="2" t="str">
        <x:f>'Invoices'!B355</x:f>
        <x:v>C019</x:v>
      </x:c>
      <x:c r="C355" s="10" t="n">
        <x:f>'Invoices'!C355</x:f>
        <x:v>46065</x:v>
      </x:c>
      <x:c r="D355" s="10" t="n">
        <x:f>'Invoices'!D355</x:f>
        <x:v>46095</x:v>
      </x:c>
      <x:c r="E355" s="11" t="n">
        <x:f>'Invoices'!E355</x:f>
        <x:v>2066.2</x:v>
      </x:c>
      <x:c r="F355" s="11" t="n">
        <x:f>SUMIFS('Payments'!$E$5:$E$429,'Payments'!$B$5:$B$429,A355,'Payments'!$D$5:$D$429,"&lt;="&amp;'Start Here'!$B$5)</x:f>
        <x:v>2066.2</x:v>
      </x:c>
      <x:c r="G355" s="11" t="n">
        <x:f>ROUND(E355-F355,2)</x:f>
        <x:v>0</x:v>
      </x:c>
      <x:c r="H355" s="2" t="n">
        <x:f>IF(G355&gt;0,MAX(0,'Start Here'!$B$5-D355),0)</x:f>
        <x:v>0</x:v>
      </x:c>
      <x:c r="I355" s="2" t="str">
        <x:f>IF(G355=0,"Paid",IF(H355=0,"Current",IF(H355&lt;=30,"1-30",IF(H355&lt;=60,"31-60",IF(H355&lt;=90,"61-90","91+")))))</x:f>
        <x:v>Paid</x:v>
      </x:c>
      <x:c r="J355" s="2" t="n">
        <x:f>IF(G355=0,0,IF(H355=0,1,IF(H355&lt;=30,2,IF(H355&lt;=60,3,IF(H355&lt;=90,4,5)))))</x:f>
        <x:v>0</x:v>
      </x:c>
      <x:c r="K355" s="2" t="str">
        <x:f>'Invoices'!F355</x:f>
        <x:v>No</x:v>
      </x:c>
      <x:c r="L355" s="10" t="n">
        <x:f>'Start Here'!$B$5</x:f>
        <x:v>46295</x:v>
      </x:c>
    </x:row>
    <x:row r="356" ht="23" customHeight="1">
      <x:c r="A356" s="2" t="str">
        <x:f>'Invoices'!A356</x:f>
        <x:v>INV00352</x:v>
      </x:c>
      <x:c r="B356" s="2" t="str">
        <x:f>'Invoices'!B356</x:f>
        <x:v>C016</x:v>
      </x:c>
      <x:c r="C356" s="10" t="n">
        <x:f>'Invoices'!C356</x:f>
        <x:v>46060</x:v>
      </x:c>
      <x:c r="D356" s="10" t="n">
        <x:f>'Invoices'!D356</x:f>
        <x:v>46120</x:v>
      </x:c>
      <x:c r="E356" s="11" t="n">
        <x:f>'Invoices'!E356</x:f>
        <x:v>14243.29</x:v>
      </x:c>
      <x:c r="F356" s="11" t="n">
        <x:f>SUMIFS('Payments'!$E$5:$E$429,'Payments'!$B$5:$B$429,A356,'Payments'!$D$5:$D$429,"&lt;="&amp;'Start Here'!$B$5)</x:f>
        <x:v>0</x:v>
      </x:c>
      <x:c r="G356" s="11" t="n">
        <x:f>ROUND(E356-F356,2)</x:f>
        <x:v>14243.29</x:v>
      </x:c>
      <x:c r="H356" s="2" t="n">
        <x:f>IF(G356&gt;0,MAX(0,'Start Here'!$B$5-D356),0)</x:f>
        <x:v>175</x:v>
      </x:c>
      <x:c r="I356" s="2" t="str">
        <x:f>IF(G356=0,"Paid",IF(H356=0,"Current",IF(H356&lt;=30,"1-30",IF(H356&lt;=60,"31-60",IF(H356&lt;=90,"61-90","91+")))))</x:f>
        <x:v>91+</x:v>
      </x:c>
      <x:c r="J356" s="2" t="n">
        <x:f>IF(G356=0,0,IF(H356=0,1,IF(H356&lt;=30,2,IF(H356&lt;=60,3,IF(H356&lt;=90,4,5)))))</x:f>
        <x:v>5</x:v>
      </x:c>
      <x:c r="K356" s="2" t="str">
        <x:f>'Invoices'!F356</x:f>
        <x:v>No</x:v>
      </x:c>
      <x:c r="L356" s="10" t="n">
        <x:f>'Start Here'!$B$5</x:f>
        <x:v>46295</x:v>
      </x:c>
    </x:row>
    <x:row r="357" ht="23" customHeight="1">
      <x:c r="A357" s="2" t="str">
        <x:f>'Invoices'!A357</x:f>
        <x:v>INV00353</x:v>
      </x:c>
      <x:c r="B357" s="2" t="str">
        <x:f>'Invoices'!B357</x:f>
        <x:v>C006</x:v>
      </x:c>
      <x:c r="C357" s="10" t="n">
        <x:f>'Invoices'!C357</x:f>
        <x:v>46034</x:v>
      </x:c>
      <x:c r="D357" s="10" t="n">
        <x:f>'Invoices'!D357</x:f>
        <x:v>46064</x:v>
      </x:c>
      <x:c r="E357" s="11" t="n">
        <x:f>'Invoices'!E357</x:f>
        <x:v>2645.37</x:v>
      </x:c>
      <x:c r="F357" s="11" t="n">
        <x:f>SUMIFS('Payments'!$E$5:$E$429,'Payments'!$B$5:$B$429,A357,'Payments'!$D$5:$D$429,"&lt;="&amp;'Start Here'!$B$5)</x:f>
        <x:v>2645.37</x:v>
      </x:c>
      <x:c r="G357" s="11" t="n">
        <x:f>ROUND(E357-F357,2)</x:f>
        <x:v>0</x:v>
      </x:c>
      <x:c r="H357" s="2" t="n">
        <x:f>IF(G357&gt;0,MAX(0,'Start Here'!$B$5-D357),0)</x:f>
        <x:v>0</x:v>
      </x:c>
      <x:c r="I357" s="2" t="str">
        <x:f>IF(G357=0,"Paid",IF(H357=0,"Current",IF(H357&lt;=30,"1-30",IF(H357&lt;=60,"31-60",IF(H357&lt;=90,"61-90","91+")))))</x:f>
        <x:v>Paid</x:v>
      </x:c>
      <x:c r="J357" s="2" t="n">
        <x:f>IF(G357=0,0,IF(H357=0,1,IF(H357&lt;=30,2,IF(H357&lt;=60,3,IF(H357&lt;=90,4,5)))))</x:f>
        <x:v>0</x:v>
      </x:c>
      <x:c r="K357" s="2" t="str">
        <x:f>'Invoices'!F357</x:f>
        <x:v>No</x:v>
      </x:c>
      <x:c r="L357" s="10" t="n">
        <x:f>'Start Here'!$B$5</x:f>
        <x:v>46295</x:v>
      </x:c>
    </x:row>
    <x:row r="358" ht="23" customHeight="1">
      <x:c r="A358" s="2" t="str">
        <x:f>'Invoices'!A358</x:f>
        <x:v>INV00354</x:v>
      </x:c>
      <x:c r="B358" s="2" t="str">
        <x:f>'Invoices'!B358</x:f>
        <x:v>C024</x:v>
      </x:c>
      <x:c r="C358" s="10" t="n">
        <x:f>'Invoices'!C358</x:f>
        <x:v>46271</x:v>
      </x:c>
      <x:c r="D358" s="10" t="n">
        <x:f>'Invoices'!D358</x:f>
        <x:v>46331</x:v>
      </x:c>
      <x:c r="E358" s="11" t="n">
        <x:f>'Invoices'!E358</x:f>
        <x:v>14726.33</x:v>
      </x:c>
      <x:c r="F358" s="11" t="n">
        <x:f>SUMIFS('Payments'!$E$5:$E$429,'Payments'!$B$5:$B$429,A358,'Payments'!$D$5:$D$429,"&lt;="&amp;'Start Here'!$B$5)</x:f>
        <x:v>0</x:v>
      </x:c>
      <x:c r="G358" s="11" t="n">
        <x:f>ROUND(E358-F358,2)</x:f>
        <x:v>14726.33</x:v>
      </x:c>
      <x:c r="H358" s="2" t="n">
        <x:f>IF(G358&gt;0,MAX(0,'Start Here'!$B$5-D358),0)</x:f>
        <x:v>0</x:v>
      </x:c>
      <x:c r="I358" s="2" t="str">
        <x:f>IF(G358=0,"Paid",IF(H358=0,"Current",IF(H358&lt;=30,"1-30",IF(H358&lt;=60,"31-60",IF(H358&lt;=90,"61-90","91+")))))</x:f>
        <x:v>Current</x:v>
      </x:c>
      <x:c r="J358" s="2" t="n">
        <x:f>IF(G358=0,0,IF(H358=0,1,IF(H358&lt;=30,2,IF(H358&lt;=60,3,IF(H358&lt;=90,4,5)))))</x:f>
        <x:v>1</x:v>
      </x:c>
      <x:c r="K358" s="2" t="str">
        <x:f>'Invoices'!F358</x:f>
        <x:v>No</x:v>
      </x:c>
      <x:c r="L358" s="10" t="n">
        <x:f>'Start Here'!$B$5</x:f>
        <x:v>46295</x:v>
      </x:c>
    </x:row>
    <x:row r="359" ht="23" customHeight="1">
      <x:c r="A359" s="2" t="str">
        <x:f>'Invoices'!A359</x:f>
        <x:v>INV00355</x:v>
      </x:c>
      <x:c r="B359" s="2" t="str">
        <x:f>'Invoices'!B359</x:f>
        <x:v>C028</x:v>
      </x:c>
      <x:c r="C359" s="10" t="n">
        <x:f>'Invoices'!C359</x:f>
        <x:v>46105</x:v>
      </x:c>
      <x:c r="D359" s="10" t="n">
        <x:f>'Invoices'!D359</x:f>
        <x:v>46165</x:v>
      </x:c>
      <x:c r="E359" s="11" t="n">
        <x:f>'Invoices'!E359</x:f>
        <x:v>5368.34</x:v>
      </x:c>
      <x:c r="F359" s="11" t="n">
        <x:f>SUMIFS('Payments'!$E$5:$E$429,'Payments'!$B$5:$B$429,A359,'Payments'!$D$5:$D$429,"&lt;="&amp;'Start Here'!$B$5)</x:f>
        <x:v>5368.34</x:v>
      </x:c>
      <x:c r="G359" s="11" t="n">
        <x:f>ROUND(E359-F359,2)</x:f>
        <x:v>0</x:v>
      </x:c>
      <x:c r="H359" s="2" t="n">
        <x:f>IF(G359&gt;0,MAX(0,'Start Here'!$B$5-D359),0)</x:f>
        <x:v>0</x:v>
      </x:c>
      <x:c r="I359" s="2" t="str">
        <x:f>IF(G359=0,"Paid",IF(H359=0,"Current",IF(H359&lt;=30,"1-30",IF(H359&lt;=60,"31-60",IF(H359&lt;=90,"61-90","91+")))))</x:f>
        <x:v>Paid</x:v>
      </x:c>
      <x:c r="J359" s="2" t="n">
        <x:f>IF(G359=0,0,IF(H359=0,1,IF(H359&lt;=30,2,IF(H359&lt;=60,3,IF(H359&lt;=90,4,5)))))</x:f>
        <x:v>0</x:v>
      </x:c>
      <x:c r="K359" s="2" t="str">
        <x:f>'Invoices'!F359</x:f>
        <x:v>No</x:v>
      </x:c>
      <x:c r="L359" s="10" t="n">
        <x:f>'Start Here'!$B$5</x:f>
        <x:v>46295</x:v>
      </x:c>
    </x:row>
    <x:row r="360" ht="23" customHeight="1">
      <x:c r="A360" s="2" t="str">
        <x:f>'Invoices'!A360</x:f>
        <x:v>INV00356</x:v>
      </x:c>
      <x:c r="B360" s="2" t="str">
        <x:f>'Invoices'!B360</x:f>
        <x:v>C030</x:v>
      </x:c>
      <x:c r="C360" s="10" t="n">
        <x:f>'Invoices'!C360</x:f>
        <x:v>46216</x:v>
      </x:c>
      <x:c r="D360" s="10" t="n">
        <x:f>'Invoices'!D360</x:f>
        <x:v>46261</x:v>
      </x:c>
      <x:c r="E360" s="11" t="n">
        <x:f>'Invoices'!E360</x:f>
        <x:v>11366.14</x:v>
      </x:c>
      <x:c r="F360" s="11" t="n">
        <x:f>SUMIFS('Payments'!$E$5:$E$429,'Payments'!$B$5:$B$429,A360,'Payments'!$D$5:$D$429,"&lt;="&amp;'Start Here'!$B$5)</x:f>
        <x:v>11366.14</x:v>
      </x:c>
      <x:c r="G360" s="11" t="n">
        <x:f>ROUND(E360-F360,2)</x:f>
        <x:v>0</x:v>
      </x:c>
      <x:c r="H360" s="2" t="n">
        <x:f>IF(G360&gt;0,MAX(0,'Start Here'!$B$5-D360),0)</x:f>
        <x:v>0</x:v>
      </x:c>
      <x:c r="I360" s="2" t="str">
        <x:f>IF(G360=0,"Paid",IF(H360=0,"Current",IF(H360&lt;=30,"1-30",IF(H360&lt;=60,"31-60",IF(H360&lt;=90,"61-90","91+")))))</x:f>
        <x:v>Paid</x:v>
      </x:c>
      <x:c r="J360" s="2" t="n">
        <x:f>IF(G360=0,0,IF(H360=0,1,IF(H360&lt;=30,2,IF(H360&lt;=60,3,IF(H360&lt;=90,4,5)))))</x:f>
        <x:v>0</x:v>
      </x:c>
      <x:c r="K360" s="2" t="str">
        <x:f>'Invoices'!F360</x:f>
        <x:v>No</x:v>
      </x:c>
      <x:c r="L360" s="10" t="n">
        <x:f>'Start Here'!$B$5</x:f>
        <x:v>46295</x:v>
      </x:c>
    </x:row>
    <x:row r="361" ht="23" customHeight="1">
      <x:c r="A361" s="2" t="str">
        <x:f>'Invoices'!A361</x:f>
        <x:v>INV00357</x:v>
      </x:c>
      <x:c r="B361" s="2" t="str">
        <x:f>'Invoices'!B361</x:f>
        <x:v>C006</x:v>
      </x:c>
      <x:c r="C361" s="10" t="n">
        <x:f>'Invoices'!C361</x:f>
        <x:v>46285</x:v>
      </x:c>
      <x:c r="D361" s="10" t="n">
        <x:f>'Invoices'!D361</x:f>
        <x:v>46330</x:v>
      </x:c>
      <x:c r="E361" s="11" t="n">
        <x:f>'Invoices'!E361</x:f>
        <x:v>17065.36</x:v>
      </x:c>
      <x:c r="F361" s="11" t="n">
        <x:f>SUMIFS('Payments'!$E$5:$E$429,'Payments'!$B$5:$B$429,A361,'Payments'!$D$5:$D$429,"&lt;="&amp;'Start Here'!$B$5)</x:f>
        <x:v>0</x:v>
      </x:c>
      <x:c r="G361" s="11" t="n">
        <x:f>ROUND(E361-F361,2)</x:f>
        <x:v>17065.36</x:v>
      </x:c>
      <x:c r="H361" s="2" t="n">
        <x:f>IF(G361&gt;0,MAX(0,'Start Here'!$B$5-D361),0)</x:f>
        <x:v>0</x:v>
      </x:c>
      <x:c r="I361" s="2" t="str">
        <x:f>IF(G361=0,"Paid",IF(H361=0,"Current",IF(H361&lt;=30,"1-30",IF(H361&lt;=60,"31-60",IF(H361&lt;=90,"61-90","91+")))))</x:f>
        <x:v>Current</x:v>
      </x:c>
      <x:c r="J361" s="2" t="n">
        <x:f>IF(G361=0,0,IF(H361=0,1,IF(H361&lt;=30,2,IF(H361&lt;=60,3,IF(H361&lt;=90,4,5)))))</x:f>
        <x:v>1</x:v>
      </x:c>
      <x:c r="K361" s="2" t="str">
        <x:f>'Invoices'!F361</x:f>
        <x:v>Yes</x:v>
      </x:c>
      <x:c r="L361" s="10" t="n">
        <x:f>'Start Here'!$B$5</x:f>
        <x:v>46295</x:v>
      </x:c>
    </x:row>
    <x:row r="362" ht="23" customHeight="1">
      <x:c r="A362" s="2" t="str">
        <x:f>'Invoices'!A362</x:f>
        <x:v>INV00358</x:v>
      </x:c>
      <x:c r="B362" s="2" t="str">
        <x:f>'Invoices'!B362</x:f>
        <x:v>C023</x:v>
      </x:c>
      <x:c r="C362" s="10" t="n">
        <x:f>'Invoices'!C362</x:f>
        <x:v>46068</x:v>
      </x:c>
      <x:c r="D362" s="10" t="n">
        <x:f>'Invoices'!D362</x:f>
        <x:v>46113</x:v>
      </x:c>
      <x:c r="E362" s="11" t="n">
        <x:f>'Invoices'!E362</x:f>
        <x:v>10707.44</x:v>
      </x:c>
      <x:c r="F362" s="11" t="n">
        <x:f>SUMIFS('Payments'!$E$5:$E$429,'Payments'!$B$5:$B$429,A362,'Payments'!$D$5:$D$429,"&lt;="&amp;'Start Here'!$B$5)</x:f>
        <x:v>10707.439999999999</x:v>
      </x:c>
      <x:c r="G362" s="11" t="n">
        <x:f>ROUND(E362-F362,2)</x:f>
        <x:v>0</x:v>
      </x:c>
      <x:c r="H362" s="2" t="n">
        <x:f>IF(G362&gt;0,MAX(0,'Start Here'!$B$5-D362),0)</x:f>
        <x:v>0</x:v>
      </x:c>
      <x:c r="I362" s="2" t="str">
        <x:f>IF(G362=0,"Paid",IF(H362=0,"Current",IF(H362&lt;=30,"1-30",IF(H362&lt;=60,"31-60",IF(H362&lt;=90,"61-90","91+")))))</x:f>
        <x:v>Paid</x:v>
      </x:c>
      <x:c r="J362" s="2" t="n">
        <x:f>IF(G362=0,0,IF(H362=0,1,IF(H362&lt;=30,2,IF(H362&lt;=60,3,IF(H362&lt;=90,4,5)))))</x:f>
        <x:v>0</x:v>
      </x:c>
      <x:c r="K362" s="2" t="str">
        <x:f>'Invoices'!F362</x:f>
        <x:v>No</x:v>
      </x:c>
      <x:c r="L362" s="10" t="n">
        <x:f>'Start Here'!$B$5</x:f>
        <x:v>46295</x:v>
      </x:c>
    </x:row>
    <x:row r="363" ht="23" customHeight="1">
      <x:c r="A363" s="2" t="str">
        <x:f>'Invoices'!A363</x:f>
        <x:v>INV00359</x:v>
      </x:c>
      <x:c r="B363" s="2" t="str">
        <x:f>'Invoices'!B363</x:f>
        <x:v>C006</x:v>
      </x:c>
      <x:c r="C363" s="10" t="n">
        <x:f>'Invoices'!C363</x:f>
        <x:v>46105</x:v>
      </x:c>
      <x:c r="D363" s="10" t="n">
        <x:f>'Invoices'!D363</x:f>
        <x:v>46120</x:v>
      </x:c>
      <x:c r="E363" s="11" t="n">
        <x:f>'Invoices'!E363</x:f>
        <x:v>6252.45</x:v>
      </x:c>
      <x:c r="F363" s="11" t="n">
        <x:f>SUMIFS('Payments'!$E$5:$E$429,'Payments'!$B$5:$B$429,A363,'Payments'!$D$5:$D$429,"&lt;="&amp;'Start Here'!$B$5)</x:f>
        <x:v>6252.45</x:v>
      </x:c>
      <x:c r="G363" s="11" t="n">
        <x:f>ROUND(E363-F363,2)</x:f>
        <x:v>0</x:v>
      </x:c>
      <x:c r="H363" s="2" t="n">
        <x:f>IF(G363&gt;0,MAX(0,'Start Here'!$B$5-D363),0)</x:f>
        <x:v>0</x:v>
      </x:c>
      <x:c r="I363" s="2" t="str">
        <x:f>IF(G363=0,"Paid",IF(H363=0,"Current",IF(H363&lt;=30,"1-30",IF(H363&lt;=60,"31-60",IF(H363&lt;=90,"61-90","91+")))))</x:f>
        <x:v>Paid</x:v>
      </x:c>
      <x:c r="J363" s="2" t="n">
        <x:f>IF(G363=0,0,IF(H363=0,1,IF(H363&lt;=30,2,IF(H363&lt;=60,3,IF(H363&lt;=90,4,5)))))</x:f>
        <x:v>0</x:v>
      </x:c>
      <x:c r="K363" s="2" t="str">
        <x:f>'Invoices'!F363</x:f>
        <x:v>No</x:v>
      </x:c>
      <x:c r="L363" s="10" t="n">
        <x:f>'Start Here'!$B$5</x:f>
        <x:v>46295</x:v>
      </x:c>
    </x:row>
    <x:row r="364" ht="23" customHeight="1">
      <x:c r="A364" s="2" t="str">
        <x:f>'Invoices'!A364</x:f>
        <x:v>INV00360</x:v>
      </x:c>
      <x:c r="B364" s="2" t="str">
        <x:f>'Invoices'!B364</x:f>
        <x:v>C024</x:v>
      </x:c>
      <x:c r="C364" s="10" t="n">
        <x:f>'Invoices'!C364</x:f>
        <x:v>46212</x:v>
      </x:c>
      <x:c r="D364" s="10" t="n">
        <x:f>'Invoices'!D364</x:f>
        <x:v>46257</x:v>
      </x:c>
      <x:c r="E364" s="11" t="n">
        <x:f>'Invoices'!E364</x:f>
        <x:v>5432.92</x:v>
      </x:c>
      <x:c r="F364" s="11" t="n">
        <x:f>SUMIFS('Payments'!$E$5:$E$429,'Payments'!$B$5:$B$429,A364,'Payments'!$D$5:$D$429,"&lt;="&amp;'Start Here'!$B$5)</x:f>
        <x:v>5432.92</x:v>
      </x:c>
      <x:c r="G364" s="11" t="n">
        <x:f>ROUND(E364-F364,2)</x:f>
        <x:v>0</x:v>
      </x:c>
      <x:c r="H364" s="2" t="n">
        <x:f>IF(G364&gt;0,MAX(0,'Start Here'!$B$5-D364),0)</x:f>
        <x:v>0</x:v>
      </x:c>
      <x:c r="I364" s="2" t="str">
        <x:f>IF(G364=0,"Paid",IF(H364=0,"Current",IF(H364&lt;=30,"1-30",IF(H364&lt;=60,"31-60",IF(H364&lt;=90,"61-90","91+")))))</x:f>
        <x:v>Paid</x:v>
      </x:c>
      <x:c r="J364" s="2" t="n">
        <x:f>IF(G364=0,0,IF(H364=0,1,IF(H364&lt;=30,2,IF(H364&lt;=60,3,IF(H364&lt;=90,4,5)))))</x:f>
        <x:v>0</x:v>
      </x:c>
      <x:c r="K364" s="2" t="str">
        <x:f>'Invoices'!F364</x:f>
        <x:v>No</x:v>
      </x:c>
      <x:c r="L364" s="10" t="n">
        <x:f>'Start Here'!$B$5</x:f>
        <x:v>46295</x:v>
      </x:c>
    </x:row>
    <x:row r="365" ht="23" customHeight="1">
      <x:c r="A365" s="2" t="str">
        <x:f>'Invoices'!A365</x:f>
        <x:v>INV00361</x:v>
      </x:c>
      <x:c r="B365" s="2" t="str">
        <x:f>'Invoices'!B365</x:f>
        <x:v>C008</x:v>
      </x:c>
      <x:c r="C365" s="10" t="n">
        <x:f>'Invoices'!C365</x:f>
        <x:v>46094</x:v>
      </x:c>
      <x:c r="D365" s="10" t="n">
        <x:f>'Invoices'!D365</x:f>
        <x:v>46154</x:v>
      </x:c>
      <x:c r="E365" s="11" t="n">
        <x:f>'Invoices'!E365</x:f>
        <x:v>2533.31</x:v>
      </x:c>
      <x:c r="F365" s="11" t="n">
        <x:f>SUMIFS('Payments'!$E$5:$E$429,'Payments'!$B$5:$B$429,A365,'Payments'!$D$5:$D$429,"&lt;="&amp;'Start Here'!$B$5)</x:f>
        <x:v>2533.31</x:v>
      </x:c>
      <x:c r="G365" s="11" t="n">
        <x:f>ROUND(E365-F365,2)</x:f>
        <x:v>0</x:v>
      </x:c>
      <x:c r="H365" s="2" t="n">
        <x:f>IF(G365&gt;0,MAX(0,'Start Here'!$B$5-D365),0)</x:f>
        <x:v>0</x:v>
      </x:c>
      <x:c r="I365" s="2" t="str">
        <x:f>IF(G365=0,"Paid",IF(H365=0,"Current",IF(H365&lt;=30,"1-30",IF(H365&lt;=60,"31-60",IF(H365&lt;=90,"61-90","91+")))))</x:f>
        <x:v>Paid</x:v>
      </x:c>
      <x:c r="J365" s="2" t="n">
        <x:f>IF(G365=0,0,IF(H365=0,1,IF(H365&lt;=30,2,IF(H365&lt;=60,3,IF(H365&lt;=90,4,5)))))</x:f>
        <x:v>0</x:v>
      </x:c>
      <x:c r="K365" s="2" t="str">
        <x:f>'Invoices'!F365</x:f>
        <x:v>No</x:v>
      </x:c>
      <x:c r="L365" s="10" t="n">
        <x:f>'Start Here'!$B$5</x:f>
        <x:v>46295</x:v>
      </x:c>
    </x:row>
    <x:row r="366" ht="23" customHeight="1">
      <x:c r="A366" s="2" t="str">
        <x:f>'Invoices'!A366</x:f>
        <x:v>INV00362</x:v>
      </x:c>
      <x:c r="B366" s="2" t="str">
        <x:f>'Invoices'!B366</x:f>
        <x:v>C028</x:v>
      </x:c>
      <x:c r="C366" s="10" t="n">
        <x:f>'Invoices'!C366</x:f>
        <x:v>46157</x:v>
      </x:c>
      <x:c r="D366" s="10" t="n">
        <x:f>'Invoices'!D366</x:f>
        <x:v>46187</x:v>
      </x:c>
      <x:c r="E366" s="11" t="n">
        <x:f>'Invoices'!E366</x:f>
        <x:v>9423.04</x:v>
      </x:c>
      <x:c r="F366" s="11" t="n">
        <x:f>SUMIFS('Payments'!$E$5:$E$429,'Payments'!$B$5:$B$429,A366,'Payments'!$D$5:$D$429,"&lt;="&amp;'Start Here'!$B$5)</x:f>
        <x:v>0</x:v>
      </x:c>
      <x:c r="G366" s="11" t="n">
        <x:f>ROUND(E366-F366,2)</x:f>
        <x:v>9423.04</x:v>
      </x:c>
      <x:c r="H366" s="2" t="n">
        <x:f>IF(G366&gt;0,MAX(0,'Start Here'!$B$5-D366),0)</x:f>
        <x:v>108</x:v>
      </x:c>
      <x:c r="I366" s="2" t="str">
        <x:f>IF(G366=0,"Paid",IF(H366=0,"Current",IF(H366&lt;=30,"1-30",IF(H366&lt;=60,"31-60",IF(H366&lt;=90,"61-90","91+")))))</x:f>
        <x:v>91+</x:v>
      </x:c>
      <x:c r="J366" s="2" t="n">
        <x:f>IF(G366=0,0,IF(H366=0,1,IF(H366&lt;=30,2,IF(H366&lt;=60,3,IF(H366&lt;=90,4,5)))))</x:f>
        <x:v>5</x:v>
      </x:c>
      <x:c r="K366" s="2" t="str">
        <x:f>'Invoices'!F366</x:f>
        <x:v>No</x:v>
      </x:c>
      <x:c r="L366" s="10" t="n">
        <x:f>'Start Here'!$B$5</x:f>
        <x:v>46295</x:v>
      </x:c>
    </x:row>
    <x:row r="367" ht="23" customHeight="1">
      <x:c r="A367" s="2" t="str">
        <x:f>'Invoices'!A367</x:f>
        <x:v>INV00363</x:v>
      </x:c>
      <x:c r="B367" s="2" t="str">
        <x:f>'Invoices'!B367</x:f>
        <x:v>C021</x:v>
      </x:c>
      <x:c r="C367" s="10" t="n">
        <x:f>'Invoices'!C367</x:f>
        <x:v>46141</x:v>
      </x:c>
      <x:c r="D367" s="10" t="n">
        <x:f>'Invoices'!D367</x:f>
        <x:v>46156</x:v>
      </x:c>
      <x:c r="E367" s="11" t="n">
        <x:f>'Invoices'!E367</x:f>
        <x:v>4400.45</x:v>
      </x:c>
      <x:c r="F367" s="11" t="n">
        <x:f>SUMIFS('Payments'!$E$5:$E$429,'Payments'!$B$5:$B$429,A367,'Payments'!$D$5:$D$429,"&lt;="&amp;'Start Here'!$B$5)</x:f>
        <x:v>4400.45</x:v>
      </x:c>
      <x:c r="G367" s="11" t="n">
        <x:f>ROUND(E367-F367,2)</x:f>
        <x:v>0</x:v>
      </x:c>
      <x:c r="H367" s="2" t="n">
        <x:f>IF(G367&gt;0,MAX(0,'Start Here'!$B$5-D367),0)</x:f>
        <x:v>0</x:v>
      </x:c>
      <x:c r="I367" s="2" t="str">
        <x:f>IF(G367=0,"Paid",IF(H367=0,"Current",IF(H367&lt;=30,"1-30",IF(H367&lt;=60,"31-60",IF(H367&lt;=90,"61-90","91+")))))</x:f>
        <x:v>Paid</x:v>
      </x:c>
      <x:c r="J367" s="2" t="n">
        <x:f>IF(G367=0,0,IF(H367=0,1,IF(H367&lt;=30,2,IF(H367&lt;=60,3,IF(H367&lt;=90,4,5)))))</x:f>
        <x:v>0</x:v>
      </x:c>
      <x:c r="K367" s="2" t="str">
        <x:f>'Invoices'!F367</x:f>
        <x:v>No</x:v>
      </x:c>
      <x:c r="L367" s="10" t="n">
        <x:f>'Start Here'!$B$5</x:f>
        <x:v>46295</x:v>
      </x:c>
    </x:row>
    <x:row r="368" ht="23" customHeight="1">
      <x:c r="A368" s="2" t="str">
        <x:f>'Invoices'!A368</x:f>
        <x:v>INV00364</x:v>
      </x:c>
      <x:c r="B368" s="2" t="str">
        <x:f>'Invoices'!B368</x:f>
        <x:v>C002</x:v>
      </x:c>
      <x:c r="C368" s="10" t="n">
        <x:f>'Invoices'!C368</x:f>
        <x:v>46109</x:v>
      </x:c>
      <x:c r="D368" s="10" t="n">
        <x:f>'Invoices'!D368</x:f>
        <x:v>46139</x:v>
      </x:c>
      <x:c r="E368" s="11" t="n">
        <x:f>'Invoices'!E368</x:f>
        <x:v>17421.62</x:v>
      </x:c>
      <x:c r="F368" s="11" t="n">
        <x:f>SUMIFS('Payments'!$E$5:$E$429,'Payments'!$B$5:$B$429,A368,'Payments'!$D$5:$D$429,"&lt;="&amp;'Start Here'!$B$5)</x:f>
        <x:v>17421.62</x:v>
      </x:c>
      <x:c r="G368" s="11" t="n">
        <x:f>ROUND(E368-F368,2)</x:f>
        <x:v>0</x:v>
      </x:c>
      <x:c r="H368" s="2" t="n">
        <x:f>IF(G368&gt;0,MAX(0,'Start Here'!$B$5-D368),0)</x:f>
        <x:v>0</x:v>
      </x:c>
      <x:c r="I368" s="2" t="str">
        <x:f>IF(G368=0,"Paid",IF(H368=0,"Current",IF(H368&lt;=30,"1-30",IF(H368&lt;=60,"31-60",IF(H368&lt;=90,"61-90","91+")))))</x:f>
        <x:v>Paid</x:v>
      </x:c>
      <x:c r="J368" s="2" t="n">
        <x:f>IF(G368=0,0,IF(H368=0,1,IF(H368&lt;=30,2,IF(H368&lt;=60,3,IF(H368&lt;=90,4,5)))))</x:f>
        <x:v>0</x:v>
      </x:c>
      <x:c r="K368" s="2" t="str">
        <x:f>'Invoices'!F368</x:f>
        <x:v>No</x:v>
      </x:c>
      <x:c r="L368" s="10" t="n">
        <x:f>'Start Here'!$B$5</x:f>
        <x:v>46295</x:v>
      </x:c>
    </x:row>
    <x:row r="369" ht="23" customHeight="1">
      <x:c r="A369" s="2" t="str">
        <x:f>'Invoices'!A369</x:f>
        <x:v>INV00365</x:v>
      </x:c>
      <x:c r="B369" s="2" t="str">
        <x:f>'Invoices'!B369</x:f>
        <x:v>C014</x:v>
      </x:c>
      <x:c r="C369" s="10" t="n">
        <x:f>'Invoices'!C369</x:f>
        <x:v>46150</x:v>
      </x:c>
      <x:c r="D369" s="10" t="n">
        <x:f>'Invoices'!D369</x:f>
        <x:v>46180</x:v>
      </x:c>
      <x:c r="E369" s="11" t="n">
        <x:f>'Invoices'!E369</x:f>
        <x:v>14660.52</x:v>
      </x:c>
      <x:c r="F369" s="11" t="n">
        <x:f>SUMIFS('Payments'!$E$5:$E$429,'Payments'!$B$5:$B$429,A369,'Payments'!$D$5:$D$429,"&lt;="&amp;'Start Here'!$B$5)</x:f>
        <x:v>14660.52</x:v>
      </x:c>
      <x:c r="G369" s="11" t="n">
        <x:f>ROUND(E369-F369,2)</x:f>
        <x:v>0</x:v>
      </x:c>
      <x:c r="H369" s="2" t="n">
        <x:f>IF(G369&gt;0,MAX(0,'Start Here'!$B$5-D369),0)</x:f>
        <x:v>0</x:v>
      </x:c>
      <x:c r="I369" s="2" t="str">
        <x:f>IF(G369=0,"Paid",IF(H369=0,"Current",IF(H369&lt;=30,"1-30",IF(H369&lt;=60,"31-60",IF(H369&lt;=90,"61-90","91+")))))</x:f>
        <x:v>Paid</x:v>
      </x:c>
      <x:c r="J369" s="2" t="n">
        <x:f>IF(G369=0,0,IF(H369=0,1,IF(H369&lt;=30,2,IF(H369&lt;=60,3,IF(H369&lt;=90,4,5)))))</x:f>
        <x:v>0</x:v>
      </x:c>
      <x:c r="K369" s="2" t="str">
        <x:f>'Invoices'!F369</x:f>
        <x:v>No</x:v>
      </x:c>
      <x:c r="L369" s="10" t="n">
        <x:f>'Start Here'!$B$5</x:f>
        <x:v>46295</x:v>
      </x:c>
    </x:row>
    <x:row r="370" ht="23" customHeight="1">
      <x:c r="A370" s="2" t="str">
        <x:f>'Invoices'!A370</x:f>
        <x:v>INV00366</x:v>
      </x:c>
      <x:c r="B370" s="2" t="str">
        <x:f>'Invoices'!B370</x:f>
        <x:v>C015</x:v>
      </x:c>
      <x:c r="C370" s="10" t="n">
        <x:f>'Invoices'!C370</x:f>
        <x:v>46052</x:v>
      </x:c>
      <x:c r="D370" s="10" t="n">
        <x:f>'Invoices'!D370</x:f>
        <x:v>46082</x:v>
      </x:c>
      <x:c r="E370" s="11" t="n">
        <x:f>'Invoices'!E370</x:f>
        <x:v>10374.7</x:v>
      </x:c>
      <x:c r="F370" s="11" t="n">
        <x:f>SUMIFS('Payments'!$E$5:$E$429,'Payments'!$B$5:$B$429,A370,'Payments'!$D$5:$D$429,"&lt;="&amp;'Start Here'!$B$5)</x:f>
        <x:v>10374.7</x:v>
      </x:c>
      <x:c r="G370" s="11" t="n">
        <x:f>ROUND(E370-F370,2)</x:f>
        <x:v>0</x:v>
      </x:c>
      <x:c r="H370" s="2" t="n">
        <x:f>IF(G370&gt;0,MAX(0,'Start Here'!$B$5-D370),0)</x:f>
        <x:v>0</x:v>
      </x:c>
      <x:c r="I370" s="2" t="str">
        <x:f>IF(G370=0,"Paid",IF(H370=0,"Current",IF(H370&lt;=30,"1-30",IF(H370&lt;=60,"31-60",IF(H370&lt;=90,"61-90","91+")))))</x:f>
        <x:v>Paid</x:v>
      </x:c>
      <x:c r="J370" s="2" t="n">
        <x:f>IF(G370=0,0,IF(H370=0,1,IF(H370&lt;=30,2,IF(H370&lt;=60,3,IF(H370&lt;=90,4,5)))))</x:f>
        <x:v>0</x:v>
      </x:c>
      <x:c r="K370" s="2" t="str">
        <x:f>'Invoices'!F370</x:f>
        <x:v>No</x:v>
      </x:c>
      <x:c r="L370" s="10" t="n">
        <x:f>'Start Here'!$B$5</x:f>
        <x:v>46295</x:v>
      </x:c>
    </x:row>
    <x:row r="371" ht="23" customHeight="1">
      <x:c r="A371" s="2" t="str">
        <x:f>'Invoices'!A371</x:f>
        <x:v>INV00367</x:v>
      </x:c>
      <x:c r="B371" s="2" t="str">
        <x:f>'Invoices'!B371</x:f>
        <x:v>C022</x:v>
      </x:c>
      <x:c r="C371" s="10" t="n">
        <x:f>'Invoices'!C371</x:f>
        <x:v>46203</x:v>
      </x:c>
      <x:c r="D371" s="10" t="n">
        <x:f>'Invoices'!D371</x:f>
        <x:v>46218</x:v>
      </x:c>
      <x:c r="E371" s="11" t="n">
        <x:f>'Invoices'!E371</x:f>
        <x:v>18073.1</x:v>
      </x:c>
      <x:c r="F371" s="11" t="n">
        <x:f>SUMIFS('Payments'!$E$5:$E$429,'Payments'!$B$5:$B$429,A371,'Payments'!$D$5:$D$429,"&lt;="&amp;'Start Here'!$B$5)</x:f>
        <x:v>18073.1</x:v>
      </x:c>
      <x:c r="G371" s="11" t="n">
        <x:f>ROUND(E371-F371,2)</x:f>
        <x:v>0</x:v>
      </x:c>
      <x:c r="H371" s="2" t="n">
        <x:f>IF(G371&gt;0,MAX(0,'Start Here'!$B$5-D371),0)</x:f>
        <x:v>0</x:v>
      </x:c>
      <x:c r="I371" s="2" t="str">
        <x:f>IF(G371=0,"Paid",IF(H371=0,"Current",IF(H371&lt;=30,"1-30",IF(H371&lt;=60,"31-60",IF(H371&lt;=90,"61-90","91+")))))</x:f>
        <x:v>Paid</x:v>
      </x:c>
      <x:c r="J371" s="2" t="n">
        <x:f>IF(G371=0,0,IF(H371=0,1,IF(H371&lt;=30,2,IF(H371&lt;=60,3,IF(H371&lt;=90,4,5)))))</x:f>
        <x:v>0</x:v>
      </x:c>
      <x:c r="K371" s="2" t="str">
        <x:f>'Invoices'!F371</x:f>
        <x:v>No</x:v>
      </x:c>
      <x:c r="L371" s="10" t="n">
        <x:f>'Start Here'!$B$5</x:f>
        <x:v>46295</x:v>
      </x:c>
    </x:row>
    <x:row r="372" ht="23" customHeight="1">
      <x:c r="A372" s="2" t="str">
        <x:f>'Invoices'!A372</x:f>
        <x:v>INV00368</x:v>
      </x:c>
      <x:c r="B372" s="2" t="str">
        <x:f>'Invoices'!B372</x:f>
        <x:v>C011</x:v>
      </x:c>
      <x:c r="C372" s="10" t="n">
        <x:f>'Invoices'!C372</x:f>
        <x:v>46103</x:v>
      </x:c>
      <x:c r="D372" s="10" t="n">
        <x:f>'Invoices'!D372</x:f>
        <x:v>46133</x:v>
      </x:c>
      <x:c r="E372" s="11" t="n">
        <x:f>'Invoices'!E372</x:f>
        <x:v>10933.36</x:v>
      </x:c>
      <x:c r="F372" s="11" t="n">
        <x:f>SUMIFS('Payments'!$E$5:$E$429,'Payments'!$B$5:$B$429,A372,'Payments'!$D$5:$D$429,"&lt;="&amp;'Start Here'!$B$5)</x:f>
        <x:v>10933.36</x:v>
      </x:c>
      <x:c r="G372" s="11" t="n">
        <x:f>ROUND(E372-F372,2)</x:f>
        <x:v>0</x:v>
      </x:c>
      <x:c r="H372" s="2" t="n">
        <x:f>IF(G372&gt;0,MAX(0,'Start Here'!$B$5-D372),0)</x:f>
        <x:v>0</x:v>
      </x:c>
      <x:c r="I372" s="2" t="str">
        <x:f>IF(G372=0,"Paid",IF(H372=0,"Current",IF(H372&lt;=30,"1-30",IF(H372&lt;=60,"31-60",IF(H372&lt;=90,"61-90","91+")))))</x:f>
        <x:v>Paid</x:v>
      </x:c>
      <x:c r="J372" s="2" t="n">
        <x:f>IF(G372=0,0,IF(H372=0,1,IF(H372&lt;=30,2,IF(H372&lt;=60,3,IF(H372&lt;=90,4,5)))))</x:f>
        <x:v>0</x:v>
      </x:c>
      <x:c r="K372" s="2" t="str">
        <x:f>'Invoices'!F372</x:f>
        <x:v>No</x:v>
      </x:c>
      <x:c r="L372" s="10" t="n">
        <x:f>'Start Here'!$B$5</x:f>
        <x:v>46295</x:v>
      </x:c>
    </x:row>
    <x:row r="373" ht="23" customHeight="1">
      <x:c r="A373" s="2" t="str">
        <x:f>'Invoices'!A373</x:f>
        <x:v>INV00369</x:v>
      </x:c>
      <x:c r="B373" s="2" t="str">
        <x:f>'Invoices'!B373</x:f>
        <x:v>C026</x:v>
      </x:c>
      <x:c r="C373" s="10" t="n">
        <x:f>'Invoices'!C373</x:f>
        <x:v>46145</x:v>
      </x:c>
      <x:c r="D373" s="10" t="n">
        <x:f>'Invoices'!D373</x:f>
        <x:v>46190</x:v>
      </x:c>
      <x:c r="E373" s="11" t="n">
        <x:f>'Invoices'!E373</x:f>
        <x:v>7777.71</x:v>
      </x:c>
      <x:c r="F373" s="11" t="n">
        <x:f>SUMIFS('Payments'!$E$5:$E$429,'Payments'!$B$5:$B$429,A373,'Payments'!$D$5:$D$429,"&lt;="&amp;'Start Here'!$B$5)</x:f>
        <x:v>7777.71</x:v>
      </x:c>
      <x:c r="G373" s="11" t="n">
        <x:f>ROUND(E373-F373,2)</x:f>
        <x:v>0</x:v>
      </x:c>
      <x:c r="H373" s="2" t="n">
        <x:f>IF(G373&gt;0,MAX(0,'Start Here'!$B$5-D373),0)</x:f>
        <x:v>0</x:v>
      </x:c>
      <x:c r="I373" s="2" t="str">
        <x:f>IF(G373=0,"Paid",IF(H373=0,"Current",IF(H373&lt;=30,"1-30",IF(H373&lt;=60,"31-60",IF(H373&lt;=90,"61-90","91+")))))</x:f>
        <x:v>Paid</x:v>
      </x:c>
      <x:c r="J373" s="2" t="n">
        <x:f>IF(G373=0,0,IF(H373=0,1,IF(H373&lt;=30,2,IF(H373&lt;=60,3,IF(H373&lt;=90,4,5)))))</x:f>
        <x:v>0</x:v>
      </x:c>
      <x:c r="K373" s="2" t="str">
        <x:f>'Invoices'!F373</x:f>
        <x:v>No</x:v>
      </x:c>
      <x:c r="L373" s="10" t="n">
        <x:f>'Start Here'!$B$5</x:f>
        <x:v>46295</x:v>
      </x:c>
    </x:row>
    <x:row r="374" ht="23" customHeight="1">
      <x:c r="A374" s="2" t="str">
        <x:f>'Invoices'!A374</x:f>
        <x:v>INV00370</x:v>
      </x:c>
      <x:c r="B374" s="2" t="str">
        <x:f>'Invoices'!B374</x:f>
        <x:v>C038</x:v>
      </x:c>
      <x:c r="C374" s="10" t="n">
        <x:f>'Invoices'!C374</x:f>
        <x:v>46124</x:v>
      </x:c>
      <x:c r="D374" s="10" t="n">
        <x:f>'Invoices'!D374</x:f>
        <x:v>46154</x:v>
      </x:c>
      <x:c r="E374" s="11" t="n">
        <x:f>'Invoices'!E374</x:f>
        <x:v>1479.59</x:v>
      </x:c>
      <x:c r="F374" s="11" t="n">
        <x:f>SUMIFS('Payments'!$E$5:$E$429,'Payments'!$B$5:$B$429,A374,'Payments'!$D$5:$D$429,"&lt;="&amp;'Start Here'!$B$5)</x:f>
        <x:v>1479.59</x:v>
      </x:c>
      <x:c r="G374" s="11" t="n">
        <x:f>ROUND(E374-F374,2)</x:f>
        <x:v>0</x:v>
      </x:c>
      <x:c r="H374" s="2" t="n">
        <x:f>IF(G374&gt;0,MAX(0,'Start Here'!$B$5-D374),0)</x:f>
        <x:v>0</x:v>
      </x:c>
      <x:c r="I374" s="2" t="str">
        <x:f>IF(G374=0,"Paid",IF(H374=0,"Current",IF(H374&lt;=30,"1-30",IF(H374&lt;=60,"31-60",IF(H374&lt;=90,"61-90","91+")))))</x:f>
        <x:v>Paid</x:v>
      </x:c>
      <x:c r="J374" s="2" t="n">
        <x:f>IF(G374=0,0,IF(H374=0,1,IF(H374&lt;=30,2,IF(H374&lt;=60,3,IF(H374&lt;=90,4,5)))))</x:f>
        <x:v>0</x:v>
      </x:c>
      <x:c r="K374" s="2" t="str">
        <x:f>'Invoices'!F374</x:f>
        <x:v>No</x:v>
      </x:c>
      <x:c r="L374" s="10" t="n">
        <x:f>'Start Here'!$B$5</x:f>
        <x:v>46295</x:v>
      </x:c>
    </x:row>
    <x:row r="375" ht="23" customHeight="1">
      <x:c r="A375" s="2" t="str">
        <x:f>'Invoices'!A375</x:f>
        <x:v>INV00371</x:v>
      </x:c>
      <x:c r="B375" s="2" t="str">
        <x:f>'Invoices'!B375</x:f>
        <x:v>C009</x:v>
      </x:c>
      <x:c r="C375" s="10" t="n">
        <x:f>'Invoices'!C375</x:f>
        <x:v>46252</x:v>
      </x:c>
      <x:c r="D375" s="10" t="n">
        <x:f>'Invoices'!D375</x:f>
        <x:v>46297</x:v>
      </x:c>
      <x:c r="E375" s="11" t="n">
        <x:f>'Invoices'!E375</x:f>
        <x:v>929.23</x:v>
      </x:c>
      <x:c r="F375" s="11" t="n">
        <x:f>SUMIFS('Payments'!$E$5:$E$429,'Payments'!$B$5:$B$429,A375,'Payments'!$D$5:$D$429,"&lt;="&amp;'Start Here'!$B$5)</x:f>
        <x:v>0</x:v>
      </x:c>
      <x:c r="G375" s="11" t="n">
        <x:f>ROUND(E375-F375,2)</x:f>
        <x:v>929.23</x:v>
      </x:c>
      <x:c r="H375" s="2" t="n">
        <x:f>IF(G375&gt;0,MAX(0,'Start Here'!$B$5-D375),0)</x:f>
        <x:v>0</x:v>
      </x:c>
      <x:c r="I375" s="2" t="str">
        <x:f>IF(G375=0,"Paid",IF(H375=0,"Current",IF(H375&lt;=30,"1-30",IF(H375&lt;=60,"31-60",IF(H375&lt;=90,"61-90","91+")))))</x:f>
        <x:v>Current</x:v>
      </x:c>
      <x:c r="J375" s="2" t="n">
        <x:f>IF(G375=0,0,IF(H375=0,1,IF(H375&lt;=30,2,IF(H375&lt;=60,3,IF(H375&lt;=90,4,5)))))</x:f>
        <x:v>1</x:v>
      </x:c>
      <x:c r="K375" s="2" t="str">
        <x:f>'Invoices'!F375</x:f>
        <x:v>No</x:v>
      </x:c>
      <x:c r="L375" s="10" t="n">
        <x:f>'Start Here'!$B$5</x:f>
        <x:v>46295</x:v>
      </x:c>
    </x:row>
    <x:row r="376" ht="23" customHeight="1">
      <x:c r="A376" s="2" t="str">
        <x:f>'Invoices'!A376</x:f>
        <x:v>INV00372</x:v>
      </x:c>
      <x:c r="B376" s="2" t="str">
        <x:f>'Invoices'!B376</x:f>
        <x:v>C021</x:v>
      </x:c>
      <x:c r="C376" s="10" t="n">
        <x:f>'Invoices'!C376</x:f>
        <x:v>46181</x:v>
      </x:c>
      <x:c r="D376" s="10" t="n">
        <x:f>'Invoices'!D376</x:f>
        <x:v>46196</x:v>
      </x:c>
      <x:c r="E376" s="11" t="n">
        <x:f>'Invoices'!E376</x:f>
        <x:v>11649.4</x:v>
      </x:c>
      <x:c r="F376" s="11" t="n">
        <x:f>SUMIFS('Payments'!$E$5:$E$429,'Payments'!$B$5:$B$429,A376,'Payments'!$D$5:$D$429,"&lt;="&amp;'Start Here'!$B$5)</x:f>
        <x:v>11649.4</x:v>
      </x:c>
      <x:c r="G376" s="11" t="n">
        <x:f>ROUND(E376-F376,2)</x:f>
        <x:v>0</x:v>
      </x:c>
      <x:c r="H376" s="2" t="n">
        <x:f>IF(G376&gt;0,MAX(0,'Start Here'!$B$5-D376),0)</x:f>
        <x:v>0</x:v>
      </x:c>
      <x:c r="I376" s="2" t="str">
        <x:f>IF(G376=0,"Paid",IF(H376=0,"Current",IF(H376&lt;=30,"1-30",IF(H376&lt;=60,"31-60",IF(H376&lt;=90,"61-90","91+")))))</x:f>
        <x:v>Paid</x:v>
      </x:c>
      <x:c r="J376" s="2" t="n">
        <x:f>IF(G376=0,0,IF(H376=0,1,IF(H376&lt;=30,2,IF(H376&lt;=60,3,IF(H376&lt;=90,4,5)))))</x:f>
        <x:v>0</x:v>
      </x:c>
      <x:c r="K376" s="2" t="str">
        <x:f>'Invoices'!F376</x:f>
        <x:v>No</x:v>
      </x:c>
      <x:c r="L376" s="10" t="n">
        <x:f>'Start Here'!$B$5</x:f>
        <x:v>46295</x:v>
      </x:c>
    </x:row>
    <x:row r="377" ht="23" customHeight="1">
      <x:c r="A377" s="2" t="str">
        <x:f>'Invoices'!A377</x:f>
        <x:v>INV00373</x:v>
      </x:c>
      <x:c r="B377" s="2" t="str">
        <x:f>'Invoices'!B377</x:f>
        <x:v>C010</x:v>
      </x:c>
      <x:c r="C377" s="10" t="n">
        <x:f>'Invoices'!C377</x:f>
        <x:v>46058</x:v>
      </x:c>
      <x:c r="D377" s="10" t="n">
        <x:f>'Invoices'!D377</x:f>
        <x:v>46073</x:v>
      </x:c>
      <x:c r="E377" s="11" t="n">
        <x:f>'Invoices'!E377</x:f>
        <x:v>17443.48</x:v>
      </x:c>
      <x:c r="F377" s="11" t="n">
        <x:f>SUMIFS('Payments'!$E$5:$E$429,'Payments'!$B$5:$B$429,A377,'Payments'!$D$5:$D$429,"&lt;="&amp;'Start Here'!$B$5)</x:f>
        <x:v>17443.48</x:v>
      </x:c>
      <x:c r="G377" s="11" t="n">
        <x:f>ROUND(E377-F377,2)</x:f>
        <x:v>0</x:v>
      </x:c>
      <x:c r="H377" s="2" t="n">
        <x:f>IF(G377&gt;0,MAX(0,'Start Here'!$B$5-D377),0)</x:f>
        <x:v>0</x:v>
      </x:c>
      <x:c r="I377" s="2" t="str">
        <x:f>IF(G377=0,"Paid",IF(H377=0,"Current",IF(H377&lt;=30,"1-30",IF(H377&lt;=60,"31-60",IF(H377&lt;=90,"61-90","91+")))))</x:f>
        <x:v>Paid</x:v>
      </x:c>
      <x:c r="J377" s="2" t="n">
        <x:f>IF(G377=0,0,IF(H377=0,1,IF(H377&lt;=30,2,IF(H377&lt;=60,3,IF(H377&lt;=90,4,5)))))</x:f>
        <x:v>0</x:v>
      </x:c>
      <x:c r="K377" s="2" t="str">
        <x:f>'Invoices'!F377</x:f>
        <x:v>No</x:v>
      </x:c>
      <x:c r="L377" s="10" t="n">
        <x:f>'Start Here'!$B$5</x:f>
        <x:v>46295</x:v>
      </x:c>
    </x:row>
    <x:row r="378" ht="23" customHeight="1">
      <x:c r="A378" s="2" t="str">
        <x:f>'Invoices'!A378</x:f>
        <x:v>INV00374</x:v>
      </x:c>
      <x:c r="B378" s="2" t="str">
        <x:f>'Invoices'!B378</x:f>
        <x:v>C004</x:v>
      </x:c>
      <x:c r="C378" s="10" t="n">
        <x:f>'Invoices'!C378</x:f>
        <x:v>46085</x:v>
      </x:c>
      <x:c r="D378" s="10" t="n">
        <x:f>'Invoices'!D378</x:f>
        <x:v>46115</x:v>
      </x:c>
      <x:c r="E378" s="11" t="n">
        <x:f>'Invoices'!E378</x:f>
        <x:v>12297.93</x:v>
      </x:c>
      <x:c r="F378" s="11" t="n">
        <x:f>SUMIFS('Payments'!$E$5:$E$429,'Payments'!$B$5:$B$429,A378,'Payments'!$D$5:$D$429,"&lt;="&amp;'Start Here'!$B$5)</x:f>
        <x:v>12297.93</x:v>
      </x:c>
      <x:c r="G378" s="11" t="n">
        <x:f>ROUND(E378-F378,2)</x:f>
        <x:v>0</x:v>
      </x:c>
      <x:c r="H378" s="2" t="n">
        <x:f>IF(G378&gt;0,MAX(0,'Start Here'!$B$5-D378),0)</x:f>
        <x:v>0</x:v>
      </x:c>
      <x:c r="I378" s="2" t="str">
        <x:f>IF(G378=0,"Paid",IF(H378=0,"Current",IF(H378&lt;=30,"1-30",IF(H378&lt;=60,"31-60",IF(H378&lt;=90,"61-90","91+")))))</x:f>
        <x:v>Paid</x:v>
      </x:c>
      <x:c r="J378" s="2" t="n">
        <x:f>IF(G378=0,0,IF(H378=0,1,IF(H378&lt;=30,2,IF(H378&lt;=60,3,IF(H378&lt;=90,4,5)))))</x:f>
        <x:v>0</x:v>
      </x:c>
      <x:c r="K378" s="2" t="str">
        <x:f>'Invoices'!F378</x:f>
        <x:v>No</x:v>
      </x:c>
      <x:c r="L378" s="10" t="n">
        <x:f>'Start Here'!$B$5</x:f>
        <x:v>46295</x:v>
      </x:c>
    </x:row>
    <x:row r="379" ht="23" customHeight="1">
      <x:c r="A379" s="2" t="str">
        <x:f>'Invoices'!A379</x:f>
        <x:v>INV00375</x:v>
      </x:c>
      <x:c r="B379" s="2" t="str">
        <x:f>'Invoices'!B379</x:f>
        <x:v>C040</x:v>
      </x:c>
      <x:c r="C379" s="10" t="n">
        <x:f>'Invoices'!C379</x:f>
        <x:v>46191</x:v>
      </x:c>
      <x:c r="D379" s="10" t="n">
        <x:f>'Invoices'!D379</x:f>
        <x:v>46221</x:v>
      </x:c>
      <x:c r="E379" s="11" t="n">
        <x:f>'Invoices'!E379</x:f>
        <x:v>9445.09</x:v>
      </x:c>
      <x:c r="F379" s="11" t="n">
        <x:f>SUMIFS('Payments'!$E$5:$E$429,'Payments'!$B$5:$B$429,A379,'Payments'!$D$5:$D$429,"&lt;="&amp;'Start Here'!$B$5)</x:f>
        <x:v>9445.09</x:v>
      </x:c>
      <x:c r="G379" s="11" t="n">
        <x:f>ROUND(E379-F379,2)</x:f>
        <x:v>0</x:v>
      </x:c>
      <x:c r="H379" s="2" t="n">
        <x:f>IF(G379&gt;0,MAX(0,'Start Here'!$B$5-D379),0)</x:f>
        <x:v>0</x:v>
      </x:c>
      <x:c r="I379" s="2" t="str">
        <x:f>IF(G379=0,"Paid",IF(H379=0,"Current",IF(H379&lt;=30,"1-30",IF(H379&lt;=60,"31-60",IF(H379&lt;=90,"61-90","91+")))))</x:f>
        <x:v>Paid</x:v>
      </x:c>
      <x:c r="J379" s="2" t="n">
        <x:f>IF(G379=0,0,IF(H379=0,1,IF(H379&lt;=30,2,IF(H379&lt;=60,3,IF(H379&lt;=90,4,5)))))</x:f>
        <x:v>0</x:v>
      </x:c>
      <x:c r="K379" s="2" t="str">
        <x:f>'Invoices'!F379</x:f>
        <x:v>No</x:v>
      </x:c>
      <x:c r="L379" s="10" t="n">
        <x:f>'Start Here'!$B$5</x:f>
        <x:v>46295</x:v>
      </x:c>
    </x:row>
    <x:row r="380" ht="23" customHeight="1">
      <x:c r="A380" s="2" t="str">
        <x:f>'Invoices'!A380</x:f>
        <x:v>INV00376</x:v>
      </x:c>
      <x:c r="B380" s="2" t="str">
        <x:f>'Invoices'!B380</x:f>
        <x:v>C003</x:v>
      </x:c>
      <x:c r="C380" s="10" t="n">
        <x:f>'Invoices'!C380</x:f>
        <x:v>46248</x:v>
      </x:c>
      <x:c r="D380" s="10" t="n">
        <x:f>'Invoices'!D380</x:f>
        <x:v>46263</x:v>
      </x:c>
      <x:c r="E380" s="11" t="n">
        <x:f>'Invoices'!E380</x:f>
        <x:v>4363.99</x:v>
      </x:c>
      <x:c r="F380" s="11" t="n">
        <x:f>SUMIFS('Payments'!$E$5:$E$429,'Payments'!$B$5:$B$429,A380,'Payments'!$D$5:$D$429,"&lt;="&amp;'Start Here'!$B$5)</x:f>
        <x:v>4363.99</x:v>
      </x:c>
      <x:c r="G380" s="11" t="n">
        <x:f>ROUND(E380-F380,2)</x:f>
        <x:v>0</x:v>
      </x:c>
      <x:c r="H380" s="2" t="n">
        <x:f>IF(G380&gt;0,MAX(0,'Start Here'!$B$5-D380),0)</x:f>
        <x:v>0</x:v>
      </x:c>
      <x:c r="I380" s="2" t="str">
        <x:f>IF(G380=0,"Paid",IF(H380=0,"Current",IF(H380&lt;=30,"1-30",IF(H380&lt;=60,"31-60",IF(H380&lt;=90,"61-90","91+")))))</x:f>
        <x:v>Paid</x:v>
      </x:c>
      <x:c r="J380" s="2" t="n">
        <x:f>IF(G380=0,0,IF(H380=0,1,IF(H380&lt;=30,2,IF(H380&lt;=60,3,IF(H380&lt;=90,4,5)))))</x:f>
        <x:v>0</x:v>
      </x:c>
      <x:c r="K380" s="2" t="str">
        <x:f>'Invoices'!F380</x:f>
        <x:v>No</x:v>
      </x:c>
      <x:c r="L380" s="10" t="n">
        <x:f>'Start Here'!$B$5</x:f>
        <x:v>46295</x:v>
      </x:c>
    </x:row>
    <x:row r="381" ht="23" customHeight="1">
      <x:c r="A381" s="2" t="str">
        <x:f>'Invoices'!A381</x:f>
        <x:v>INV00377</x:v>
      </x:c>
      <x:c r="B381" s="2" t="str">
        <x:f>'Invoices'!B381</x:f>
        <x:v>C028</x:v>
      </x:c>
      <x:c r="C381" s="10" t="n">
        <x:f>'Invoices'!C381</x:f>
        <x:v>46169</x:v>
      </x:c>
      <x:c r="D381" s="10" t="n">
        <x:f>'Invoices'!D381</x:f>
        <x:v>46229</x:v>
      </x:c>
      <x:c r="E381" s="11" t="n">
        <x:f>'Invoices'!E381</x:f>
        <x:v>5401.53</x:v>
      </x:c>
      <x:c r="F381" s="11" t="n">
        <x:f>SUMIFS('Payments'!$E$5:$E$429,'Payments'!$B$5:$B$429,A381,'Payments'!$D$5:$D$429,"&lt;="&amp;'Start Here'!$B$5)</x:f>
        <x:v>5401.53</x:v>
      </x:c>
      <x:c r="G381" s="11" t="n">
        <x:f>ROUND(E381-F381,2)</x:f>
        <x:v>0</x:v>
      </x:c>
      <x:c r="H381" s="2" t="n">
        <x:f>IF(G381&gt;0,MAX(0,'Start Here'!$B$5-D381),0)</x:f>
        <x:v>0</x:v>
      </x:c>
      <x:c r="I381" s="2" t="str">
        <x:f>IF(G381=0,"Paid",IF(H381=0,"Current",IF(H381&lt;=30,"1-30",IF(H381&lt;=60,"31-60",IF(H381&lt;=90,"61-90","91+")))))</x:f>
        <x:v>Paid</x:v>
      </x:c>
      <x:c r="J381" s="2" t="n">
        <x:f>IF(G381=0,0,IF(H381=0,1,IF(H381&lt;=30,2,IF(H381&lt;=60,3,IF(H381&lt;=90,4,5)))))</x:f>
        <x:v>0</x:v>
      </x:c>
      <x:c r="K381" s="2" t="str">
        <x:f>'Invoices'!F381</x:f>
        <x:v>No</x:v>
      </x:c>
      <x:c r="L381" s="10" t="n">
        <x:f>'Start Here'!$B$5</x:f>
        <x:v>46295</x:v>
      </x:c>
    </x:row>
    <x:row r="382" ht="23" customHeight="1">
      <x:c r="A382" s="2" t="str">
        <x:f>'Invoices'!A382</x:f>
        <x:v>INV00378</x:v>
      </x:c>
      <x:c r="B382" s="2" t="str">
        <x:f>'Invoices'!B382</x:f>
        <x:v>C019</x:v>
      </x:c>
      <x:c r="C382" s="10" t="n">
        <x:f>'Invoices'!C382</x:f>
        <x:v>46165</x:v>
      </x:c>
      <x:c r="D382" s="10" t="n">
        <x:f>'Invoices'!D382</x:f>
        <x:v>46225</x:v>
      </x:c>
      <x:c r="E382" s="11" t="n">
        <x:f>'Invoices'!E382</x:f>
        <x:v>6356.42</x:v>
      </x:c>
      <x:c r="F382" s="11" t="n">
        <x:f>SUMIFS('Payments'!$E$5:$E$429,'Payments'!$B$5:$B$429,A382,'Payments'!$D$5:$D$429,"&lt;="&amp;'Start Here'!$B$5)</x:f>
        <x:v>6356.42</x:v>
      </x:c>
      <x:c r="G382" s="11" t="n">
        <x:f>ROUND(E382-F382,2)</x:f>
        <x:v>0</x:v>
      </x:c>
      <x:c r="H382" s="2" t="n">
        <x:f>IF(G382&gt;0,MAX(0,'Start Here'!$B$5-D382),0)</x:f>
        <x:v>0</x:v>
      </x:c>
      <x:c r="I382" s="2" t="str">
        <x:f>IF(G382=0,"Paid",IF(H382=0,"Current",IF(H382&lt;=30,"1-30",IF(H382&lt;=60,"31-60",IF(H382&lt;=90,"61-90","91+")))))</x:f>
        <x:v>Paid</x:v>
      </x:c>
      <x:c r="J382" s="2" t="n">
        <x:f>IF(G382=0,0,IF(H382=0,1,IF(H382&lt;=30,2,IF(H382&lt;=60,3,IF(H382&lt;=90,4,5)))))</x:f>
        <x:v>0</x:v>
      </x:c>
      <x:c r="K382" s="2" t="str">
        <x:f>'Invoices'!F382</x:f>
        <x:v>No</x:v>
      </x:c>
      <x:c r="L382" s="10" t="n">
        <x:f>'Start Here'!$B$5</x:f>
        <x:v>46295</x:v>
      </x:c>
    </x:row>
    <x:row r="383" ht="23" customHeight="1">
      <x:c r="A383" s="2" t="str">
        <x:f>'Invoices'!A383</x:f>
        <x:v>INV00379</x:v>
      </x:c>
      <x:c r="B383" s="2" t="str">
        <x:f>'Invoices'!B383</x:f>
        <x:v>C001</x:v>
      </x:c>
      <x:c r="C383" s="10" t="n">
        <x:f>'Invoices'!C383</x:f>
        <x:v>46210</x:v>
      </x:c>
      <x:c r="D383" s="10" t="n">
        <x:f>'Invoices'!D383</x:f>
        <x:v>46255</x:v>
      </x:c>
      <x:c r="E383" s="11" t="n">
        <x:f>'Invoices'!E383</x:f>
        <x:v>8129.48</x:v>
      </x:c>
      <x:c r="F383" s="11" t="n">
        <x:f>SUMIFS('Payments'!$E$5:$E$429,'Payments'!$B$5:$B$429,A383,'Payments'!$D$5:$D$429,"&lt;="&amp;'Start Here'!$B$5)</x:f>
        <x:v>8129.48</x:v>
      </x:c>
      <x:c r="G383" s="11" t="n">
        <x:f>ROUND(E383-F383,2)</x:f>
        <x:v>0</x:v>
      </x:c>
      <x:c r="H383" s="2" t="n">
        <x:f>IF(G383&gt;0,MAX(0,'Start Here'!$B$5-D383),0)</x:f>
        <x:v>0</x:v>
      </x:c>
      <x:c r="I383" s="2" t="str">
        <x:f>IF(G383=0,"Paid",IF(H383=0,"Current",IF(H383&lt;=30,"1-30",IF(H383&lt;=60,"31-60",IF(H383&lt;=90,"61-90","91+")))))</x:f>
        <x:v>Paid</x:v>
      </x:c>
      <x:c r="J383" s="2" t="n">
        <x:f>IF(G383=0,0,IF(H383=0,1,IF(H383&lt;=30,2,IF(H383&lt;=60,3,IF(H383&lt;=90,4,5)))))</x:f>
        <x:v>0</x:v>
      </x:c>
      <x:c r="K383" s="2" t="str">
        <x:f>'Invoices'!F383</x:f>
        <x:v>No</x:v>
      </x:c>
      <x:c r="L383" s="10" t="n">
        <x:f>'Start Here'!$B$5</x:f>
        <x:v>46295</x:v>
      </x:c>
    </x:row>
    <x:row r="384" ht="23" customHeight="1">
      <x:c r="A384" s="2" t="str">
        <x:f>'Invoices'!A384</x:f>
        <x:v>INV00380</x:v>
      </x:c>
      <x:c r="B384" s="2" t="str">
        <x:f>'Invoices'!B384</x:f>
        <x:v>C038</x:v>
      </x:c>
      <x:c r="C384" s="10" t="n">
        <x:f>'Invoices'!C384</x:f>
        <x:v>46249</x:v>
      </x:c>
      <x:c r="D384" s="10" t="n">
        <x:f>'Invoices'!D384</x:f>
        <x:v>46279</x:v>
      </x:c>
      <x:c r="E384" s="11" t="n">
        <x:f>'Invoices'!E384</x:f>
        <x:v>10986.75</x:v>
      </x:c>
      <x:c r="F384" s="11" t="n">
        <x:f>SUMIFS('Payments'!$E$5:$E$429,'Payments'!$B$5:$B$429,A384,'Payments'!$D$5:$D$429,"&lt;="&amp;'Start Here'!$B$5)</x:f>
        <x:v>0</x:v>
      </x:c>
      <x:c r="G384" s="11" t="n">
        <x:f>ROUND(E384-F384,2)</x:f>
        <x:v>10986.75</x:v>
      </x:c>
      <x:c r="H384" s="2" t="n">
        <x:f>IF(G384&gt;0,MAX(0,'Start Here'!$B$5-D384),0)</x:f>
        <x:v>16</x:v>
      </x:c>
      <x:c r="I384" s="2" t="str">
        <x:f>IF(G384=0,"Paid",IF(H384=0,"Current",IF(H384&lt;=30,"1-30",IF(H384&lt;=60,"31-60",IF(H384&lt;=90,"61-90","91+")))))</x:f>
        <x:v>1-30</x:v>
      </x:c>
      <x:c r="J384" s="2" t="n">
        <x:f>IF(G384=0,0,IF(H384=0,1,IF(H384&lt;=30,2,IF(H384&lt;=60,3,IF(H384&lt;=90,4,5)))))</x:f>
        <x:v>2</x:v>
      </x:c>
      <x:c r="K384" s="2" t="str">
        <x:f>'Invoices'!F384</x:f>
        <x:v>No</x:v>
      </x:c>
      <x:c r="L384" s="10" t="n">
        <x:f>'Start Here'!$B$5</x:f>
        <x:v>46295</x:v>
      </x:c>
    </x:row>
    <x:row r="385" ht="23" customHeight="1">
      <x:c r="A385" s="2" t="str">
        <x:f>'Invoices'!A385</x:f>
        <x:v>INV00381</x:v>
      </x:c>
      <x:c r="B385" s="2" t="str">
        <x:f>'Invoices'!B385</x:f>
        <x:v>C029</x:v>
      </x:c>
      <x:c r="C385" s="10" t="n">
        <x:f>'Invoices'!C385</x:f>
        <x:v>46192</x:v>
      </x:c>
      <x:c r="D385" s="10" t="n">
        <x:f>'Invoices'!D385</x:f>
        <x:v>46207</x:v>
      </x:c>
      <x:c r="E385" s="11" t="n">
        <x:f>'Invoices'!E385</x:f>
        <x:v>12175.66</x:v>
      </x:c>
      <x:c r="F385" s="11" t="n">
        <x:f>SUMIFS('Payments'!$E$5:$E$429,'Payments'!$B$5:$B$429,A385,'Payments'!$D$5:$D$429,"&lt;="&amp;'Start Here'!$B$5)</x:f>
        <x:v>12175.66</x:v>
      </x:c>
      <x:c r="G385" s="11" t="n">
        <x:f>ROUND(E385-F385,2)</x:f>
        <x:v>0</x:v>
      </x:c>
      <x:c r="H385" s="2" t="n">
        <x:f>IF(G385&gt;0,MAX(0,'Start Here'!$B$5-D385),0)</x:f>
        <x:v>0</x:v>
      </x:c>
      <x:c r="I385" s="2" t="str">
        <x:f>IF(G385=0,"Paid",IF(H385=0,"Current",IF(H385&lt;=30,"1-30",IF(H385&lt;=60,"31-60",IF(H385&lt;=90,"61-90","91+")))))</x:f>
        <x:v>Paid</x:v>
      </x:c>
      <x:c r="J385" s="2" t="n">
        <x:f>IF(G385=0,0,IF(H385=0,1,IF(H385&lt;=30,2,IF(H385&lt;=60,3,IF(H385&lt;=90,4,5)))))</x:f>
        <x:v>0</x:v>
      </x:c>
      <x:c r="K385" s="2" t="str">
        <x:f>'Invoices'!F385</x:f>
        <x:v>No</x:v>
      </x:c>
      <x:c r="L385" s="10" t="n">
        <x:f>'Start Here'!$B$5</x:f>
        <x:v>46295</x:v>
      </x:c>
    </x:row>
    <x:row r="386" ht="23" customHeight="1">
      <x:c r="A386" s="2" t="str">
        <x:f>'Invoices'!A386</x:f>
        <x:v>INV00382</x:v>
      </x:c>
      <x:c r="B386" s="2" t="str">
        <x:f>'Invoices'!B386</x:f>
        <x:v>C002</x:v>
      </x:c>
      <x:c r="C386" s="10" t="n">
        <x:f>'Invoices'!C386</x:f>
        <x:v>46223</x:v>
      </x:c>
      <x:c r="D386" s="10" t="n">
        <x:f>'Invoices'!D386</x:f>
        <x:v>46268</x:v>
      </x:c>
      <x:c r="E386" s="11" t="n">
        <x:f>'Invoices'!E386</x:f>
        <x:v>14192.21</x:v>
      </x:c>
      <x:c r="F386" s="11" t="n">
        <x:f>SUMIFS('Payments'!$E$5:$E$429,'Payments'!$B$5:$B$429,A386,'Payments'!$D$5:$D$429,"&lt;="&amp;'Start Here'!$B$5)</x:f>
        <x:v>0</x:v>
      </x:c>
      <x:c r="G386" s="11" t="n">
        <x:f>ROUND(E386-F386,2)</x:f>
        <x:v>14192.21</x:v>
      </x:c>
      <x:c r="H386" s="2" t="n">
        <x:f>IF(G386&gt;0,MAX(0,'Start Here'!$B$5-D386),0)</x:f>
        <x:v>27</x:v>
      </x:c>
      <x:c r="I386" s="2" t="str">
        <x:f>IF(G386=0,"Paid",IF(H386=0,"Current",IF(H386&lt;=30,"1-30",IF(H386&lt;=60,"31-60",IF(H386&lt;=90,"61-90","91+")))))</x:f>
        <x:v>1-30</x:v>
      </x:c>
      <x:c r="J386" s="2" t="n">
        <x:f>IF(G386=0,0,IF(H386=0,1,IF(H386&lt;=30,2,IF(H386&lt;=60,3,IF(H386&lt;=90,4,5)))))</x:f>
        <x:v>2</x:v>
      </x:c>
      <x:c r="K386" s="2" t="str">
        <x:f>'Invoices'!F386</x:f>
        <x:v>No</x:v>
      </x:c>
      <x:c r="L386" s="10" t="n">
        <x:f>'Start Here'!$B$5</x:f>
        <x:v>46295</x:v>
      </x:c>
    </x:row>
    <x:row r="387" ht="23" customHeight="1">
      <x:c r="A387" s="2" t="str">
        <x:f>'Invoices'!A387</x:f>
        <x:v>INV00383</x:v>
      </x:c>
      <x:c r="B387" s="2" t="str">
        <x:f>'Invoices'!B387</x:f>
        <x:v>C011</x:v>
      </x:c>
      <x:c r="C387" s="10" t="n">
        <x:f>'Invoices'!C387</x:f>
        <x:v>46171</x:v>
      </x:c>
      <x:c r="D387" s="10" t="n">
        <x:f>'Invoices'!D387</x:f>
        <x:v>46186</x:v>
      </x:c>
      <x:c r="E387" s="11" t="n">
        <x:f>'Invoices'!E387</x:f>
        <x:v>12037.72</x:v>
      </x:c>
      <x:c r="F387" s="11" t="n">
        <x:f>SUMIFS('Payments'!$E$5:$E$429,'Payments'!$B$5:$B$429,A387,'Payments'!$D$5:$D$429,"&lt;="&amp;'Start Here'!$B$5)</x:f>
        <x:v>12037.72</x:v>
      </x:c>
      <x:c r="G387" s="11" t="n">
        <x:f>ROUND(E387-F387,2)</x:f>
        <x:v>0</x:v>
      </x:c>
      <x:c r="H387" s="2" t="n">
        <x:f>IF(G387&gt;0,MAX(0,'Start Here'!$B$5-D387),0)</x:f>
        <x:v>0</x:v>
      </x:c>
      <x:c r="I387" s="2" t="str">
        <x:f>IF(G387=0,"Paid",IF(H387=0,"Current",IF(H387&lt;=30,"1-30",IF(H387&lt;=60,"31-60",IF(H387&lt;=90,"61-90","91+")))))</x:f>
        <x:v>Paid</x:v>
      </x:c>
      <x:c r="J387" s="2" t="n">
        <x:f>IF(G387=0,0,IF(H387=0,1,IF(H387&lt;=30,2,IF(H387&lt;=60,3,IF(H387&lt;=90,4,5)))))</x:f>
        <x:v>0</x:v>
      </x:c>
      <x:c r="K387" s="2" t="str">
        <x:f>'Invoices'!F387</x:f>
        <x:v>No</x:v>
      </x:c>
      <x:c r="L387" s="10" t="n">
        <x:f>'Start Here'!$B$5</x:f>
        <x:v>46295</x:v>
      </x:c>
    </x:row>
    <x:row r="388" ht="23" customHeight="1">
      <x:c r="A388" s="2" t="str">
        <x:f>'Invoices'!A388</x:f>
        <x:v>INV00384</x:v>
      </x:c>
      <x:c r="B388" s="2" t="str">
        <x:f>'Invoices'!B388</x:f>
        <x:v>C024</x:v>
      </x:c>
      <x:c r="C388" s="10" t="n">
        <x:f>'Invoices'!C388</x:f>
        <x:v>46221</x:v>
      </x:c>
      <x:c r="D388" s="10" t="n">
        <x:f>'Invoices'!D388</x:f>
        <x:v>46251</x:v>
      </x:c>
      <x:c r="E388" s="11" t="n">
        <x:f>'Invoices'!E388</x:f>
        <x:v>18828.37</x:v>
      </x:c>
      <x:c r="F388" s="11" t="n">
        <x:f>SUMIFS('Payments'!$E$5:$E$429,'Payments'!$B$5:$B$429,A388,'Payments'!$D$5:$D$429,"&lt;="&amp;'Start Here'!$B$5)</x:f>
        <x:v>18828.37</x:v>
      </x:c>
      <x:c r="G388" s="11" t="n">
        <x:f>ROUND(E388-F388,2)</x:f>
        <x:v>0</x:v>
      </x:c>
      <x:c r="H388" s="2" t="n">
        <x:f>IF(G388&gt;0,MAX(0,'Start Here'!$B$5-D388),0)</x:f>
        <x:v>0</x:v>
      </x:c>
      <x:c r="I388" s="2" t="str">
        <x:f>IF(G388=0,"Paid",IF(H388=0,"Current",IF(H388&lt;=30,"1-30",IF(H388&lt;=60,"31-60",IF(H388&lt;=90,"61-90","91+")))))</x:f>
        <x:v>Paid</x:v>
      </x:c>
      <x:c r="J388" s="2" t="n">
        <x:f>IF(G388=0,0,IF(H388=0,1,IF(H388&lt;=30,2,IF(H388&lt;=60,3,IF(H388&lt;=90,4,5)))))</x:f>
        <x:v>0</x:v>
      </x:c>
      <x:c r="K388" s="2" t="str">
        <x:f>'Invoices'!F388</x:f>
        <x:v>No</x:v>
      </x:c>
      <x:c r="L388" s="10" t="n">
        <x:f>'Start Here'!$B$5</x:f>
        <x:v>46295</x:v>
      </x:c>
    </x:row>
    <x:row r="389" ht="23" customHeight="1">
      <x:c r="A389" s="2" t="str">
        <x:f>'Invoices'!A389</x:f>
        <x:v>INV00385</x:v>
      </x:c>
      <x:c r="B389" s="2" t="str">
        <x:f>'Invoices'!B389</x:f>
        <x:v>C038</x:v>
      </x:c>
      <x:c r="C389" s="10" t="n">
        <x:f>'Invoices'!C389</x:f>
        <x:v>46162</x:v>
      </x:c>
      <x:c r="D389" s="10" t="n">
        <x:f>'Invoices'!D389</x:f>
        <x:v>46192</x:v>
      </x:c>
      <x:c r="E389" s="11" t="n">
        <x:f>'Invoices'!E389</x:f>
        <x:v>10639.66</x:v>
      </x:c>
      <x:c r="F389" s="11" t="n">
        <x:f>SUMIFS('Payments'!$E$5:$E$429,'Payments'!$B$5:$B$429,A389,'Payments'!$D$5:$D$429,"&lt;="&amp;'Start Here'!$B$5)</x:f>
        <x:v>10639.66</x:v>
      </x:c>
      <x:c r="G389" s="11" t="n">
        <x:f>ROUND(E389-F389,2)</x:f>
        <x:v>0</x:v>
      </x:c>
      <x:c r="H389" s="2" t="n">
        <x:f>IF(G389&gt;0,MAX(0,'Start Here'!$B$5-D389),0)</x:f>
        <x:v>0</x:v>
      </x:c>
      <x:c r="I389" s="2" t="str">
        <x:f>IF(G389=0,"Paid",IF(H389=0,"Current",IF(H389&lt;=30,"1-30",IF(H389&lt;=60,"31-60",IF(H389&lt;=90,"61-90","91+")))))</x:f>
        <x:v>Paid</x:v>
      </x:c>
      <x:c r="J389" s="2" t="n">
        <x:f>IF(G389=0,0,IF(H389=0,1,IF(H389&lt;=30,2,IF(H389&lt;=60,3,IF(H389&lt;=90,4,5)))))</x:f>
        <x:v>0</x:v>
      </x:c>
      <x:c r="K389" s="2" t="str">
        <x:f>'Invoices'!F389</x:f>
        <x:v>No</x:v>
      </x:c>
      <x:c r="L389" s="10" t="n">
        <x:f>'Start Here'!$B$5</x:f>
        <x:v>46295</x:v>
      </x:c>
    </x:row>
    <x:row r="390" ht="23" customHeight="1">
      <x:c r="A390" s="2" t="str">
        <x:f>'Invoices'!A390</x:f>
        <x:v>INV00386</x:v>
      </x:c>
      <x:c r="B390" s="2" t="str">
        <x:f>'Invoices'!B390</x:f>
        <x:v>C024</x:v>
      </x:c>
      <x:c r="C390" s="10" t="n">
        <x:f>'Invoices'!C390</x:f>
        <x:v>46132</x:v>
      </x:c>
      <x:c r="D390" s="10" t="n">
        <x:f>'Invoices'!D390</x:f>
        <x:v>46192</x:v>
      </x:c>
      <x:c r="E390" s="11" t="n">
        <x:f>'Invoices'!E390</x:f>
        <x:v>19584.17</x:v>
      </x:c>
      <x:c r="F390" s="11" t="n">
        <x:f>SUMIFS('Payments'!$E$5:$E$429,'Payments'!$B$5:$B$429,A390,'Payments'!$D$5:$D$429,"&lt;="&amp;'Start Here'!$B$5)</x:f>
        <x:v>19584.17</x:v>
      </x:c>
      <x:c r="G390" s="11" t="n">
        <x:f>ROUND(E390-F390,2)</x:f>
        <x:v>0</x:v>
      </x:c>
      <x:c r="H390" s="2" t="n">
        <x:f>IF(G390&gt;0,MAX(0,'Start Here'!$B$5-D390),0)</x:f>
        <x:v>0</x:v>
      </x:c>
      <x:c r="I390" s="2" t="str">
        <x:f>IF(G390=0,"Paid",IF(H390=0,"Current",IF(H390&lt;=30,"1-30",IF(H390&lt;=60,"31-60",IF(H390&lt;=90,"61-90","91+")))))</x:f>
        <x:v>Paid</x:v>
      </x:c>
      <x:c r="J390" s="2" t="n">
        <x:f>IF(G390=0,0,IF(H390=0,1,IF(H390&lt;=30,2,IF(H390&lt;=60,3,IF(H390&lt;=90,4,5)))))</x:f>
        <x:v>0</x:v>
      </x:c>
      <x:c r="K390" s="2" t="str">
        <x:f>'Invoices'!F390</x:f>
        <x:v>No</x:v>
      </x:c>
      <x:c r="L390" s="10" t="n">
        <x:f>'Start Here'!$B$5</x:f>
        <x:v>46295</x:v>
      </x:c>
    </x:row>
    <x:row r="391" ht="23" customHeight="1">
      <x:c r="A391" s="2" t="str">
        <x:f>'Invoices'!A391</x:f>
        <x:v>INV00387</x:v>
      </x:c>
      <x:c r="B391" s="2" t="str">
        <x:f>'Invoices'!B391</x:f>
        <x:v>C018</x:v>
      </x:c>
      <x:c r="C391" s="10" t="n">
        <x:f>'Invoices'!C391</x:f>
        <x:v>46078</x:v>
      </x:c>
      <x:c r="D391" s="10" t="n">
        <x:f>'Invoices'!D391</x:f>
        <x:v>46123</x:v>
      </x:c>
      <x:c r="E391" s="11" t="n">
        <x:f>'Invoices'!E391</x:f>
        <x:v>8137.55</x:v>
      </x:c>
      <x:c r="F391" s="11" t="n">
        <x:f>SUMIFS('Payments'!$E$5:$E$429,'Payments'!$B$5:$B$429,A391,'Payments'!$D$5:$D$429,"&lt;="&amp;'Start Here'!$B$5)</x:f>
        <x:v>8137.55</x:v>
      </x:c>
      <x:c r="G391" s="11" t="n">
        <x:f>ROUND(E391-F391,2)</x:f>
        <x:v>0</x:v>
      </x:c>
      <x:c r="H391" s="2" t="n">
        <x:f>IF(G391&gt;0,MAX(0,'Start Here'!$B$5-D391),0)</x:f>
        <x:v>0</x:v>
      </x:c>
      <x:c r="I391" s="2" t="str">
        <x:f>IF(G391=0,"Paid",IF(H391=0,"Current",IF(H391&lt;=30,"1-30",IF(H391&lt;=60,"31-60",IF(H391&lt;=90,"61-90","91+")))))</x:f>
        <x:v>Paid</x:v>
      </x:c>
      <x:c r="J391" s="2" t="n">
        <x:f>IF(G391=0,0,IF(H391=0,1,IF(H391&lt;=30,2,IF(H391&lt;=60,3,IF(H391&lt;=90,4,5)))))</x:f>
        <x:v>0</x:v>
      </x:c>
      <x:c r="K391" s="2" t="str">
        <x:f>'Invoices'!F391</x:f>
        <x:v>No</x:v>
      </x:c>
      <x:c r="L391" s="10" t="n">
        <x:f>'Start Here'!$B$5</x:f>
        <x:v>46295</x:v>
      </x:c>
    </x:row>
    <x:row r="392" ht="23" customHeight="1">
      <x:c r="A392" s="2" t="str">
        <x:f>'Invoices'!A392</x:f>
        <x:v>INV00388</x:v>
      </x:c>
      <x:c r="B392" s="2" t="str">
        <x:f>'Invoices'!B392</x:f>
        <x:v>C010</x:v>
      </x:c>
      <x:c r="C392" s="10" t="n">
        <x:f>'Invoices'!C392</x:f>
        <x:v>46216</x:v>
      </x:c>
      <x:c r="D392" s="10" t="n">
        <x:f>'Invoices'!D392</x:f>
        <x:v>46231</x:v>
      </x:c>
      <x:c r="E392" s="11" t="n">
        <x:f>'Invoices'!E392</x:f>
        <x:v>19168.86</x:v>
      </x:c>
      <x:c r="F392" s="11" t="n">
        <x:f>SUMIFS('Payments'!$E$5:$E$429,'Payments'!$B$5:$B$429,A392,'Payments'!$D$5:$D$429,"&lt;="&amp;'Start Here'!$B$5)</x:f>
        <x:v>19168.86</x:v>
      </x:c>
      <x:c r="G392" s="11" t="n">
        <x:f>ROUND(E392-F392,2)</x:f>
        <x:v>0</x:v>
      </x:c>
      <x:c r="H392" s="2" t="n">
        <x:f>IF(G392&gt;0,MAX(0,'Start Here'!$B$5-D392),0)</x:f>
        <x:v>0</x:v>
      </x:c>
      <x:c r="I392" s="2" t="str">
        <x:f>IF(G392=0,"Paid",IF(H392=0,"Current",IF(H392&lt;=30,"1-30",IF(H392&lt;=60,"31-60",IF(H392&lt;=90,"61-90","91+")))))</x:f>
        <x:v>Paid</x:v>
      </x:c>
      <x:c r="J392" s="2" t="n">
        <x:f>IF(G392=0,0,IF(H392=0,1,IF(H392&lt;=30,2,IF(H392&lt;=60,3,IF(H392&lt;=90,4,5)))))</x:f>
        <x:v>0</x:v>
      </x:c>
      <x:c r="K392" s="2" t="str">
        <x:f>'Invoices'!F392</x:f>
        <x:v>No</x:v>
      </x:c>
      <x:c r="L392" s="10" t="n">
        <x:f>'Start Here'!$B$5</x:f>
        <x:v>46295</x:v>
      </x:c>
    </x:row>
    <x:row r="393" ht="23" customHeight="1">
      <x:c r="A393" s="2" t="str">
        <x:f>'Invoices'!A393</x:f>
        <x:v>INV00389</x:v>
      </x:c>
      <x:c r="B393" s="2" t="str">
        <x:f>'Invoices'!B393</x:f>
        <x:v>C034</x:v>
      </x:c>
      <x:c r="C393" s="10" t="n">
        <x:f>'Invoices'!C393</x:f>
        <x:v>46086</x:v>
      </x:c>
      <x:c r="D393" s="10" t="n">
        <x:f>'Invoices'!D393</x:f>
        <x:v>46116</x:v>
      </x:c>
      <x:c r="E393" s="11" t="n">
        <x:f>'Invoices'!E393</x:f>
        <x:v>14044.93</x:v>
      </x:c>
      <x:c r="F393" s="11" t="n">
        <x:f>SUMIFS('Payments'!$E$5:$E$429,'Payments'!$B$5:$B$429,A393,'Payments'!$D$5:$D$429,"&lt;="&amp;'Start Here'!$B$5)</x:f>
        <x:v>14044.93</x:v>
      </x:c>
      <x:c r="G393" s="11" t="n">
        <x:f>ROUND(E393-F393,2)</x:f>
        <x:v>0</x:v>
      </x:c>
      <x:c r="H393" s="2" t="n">
        <x:f>IF(G393&gt;0,MAX(0,'Start Here'!$B$5-D393),0)</x:f>
        <x:v>0</x:v>
      </x:c>
      <x:c r="I393" s="2" t="str">
        <x:f>IF(G393=0,"Paid",IF(H393=0,"Current",IF(H393&lt;=30,"1-30",IF(H393&lt;=60,"31-60",IF(H393&lt;=90,"61-90","91+")))))</x:f>
        <x:v>Paid</x:v>
      </x:c>
      <x:c r="J393" s="2" t="n">
        <x:f>IF(G393=0,0,IF(H393=0,1,IF(H393&lt;=30,2,IF(H393&lt;=60,3,IF(H393&lt;=90,4,5)))))</x:f>
        <x:v>0</x:v>
      </x:c>
      <x:c r="K393" s="2" t="str">
        <x:f>'Invoices'!F393</x:f>
        <x:v>No</x:v>
      </x:c>
      <x:c r="L393" s="10" t="n">
        <x:f>'Start Here'!$B$5</x:f>
        <x:v>46295</x:v>
      </x:c>
    </x:row>
    <x:row r="394" ht="23" customHeight="1">
      <x:c r="A394" s="2" t="str">
        <x:f>'Invoices'!A394</x:f>
        <x:v>INV00390</x:v>
      </x:c>
      <x:c r="B394" s="2" t="str">
        <x:f>'Invoices'!B394</x:f>
        <x:v>C007</x:v>
      </x:c>
      <x:c r="C394" s="10" t="n">
        <x:f>'Invoices'!C394</x:f>
        <x:v>46136</x:v>
      </x:c>
      <x:c r="D394" s="10" t="n">
        <x:f>'Invoices'!D394</x:f>
        <x:v>46181</x:v>
      </x:c>
      <x:c r="E394" s="11" t="n">
        <x:f>'Invoices'!E394</x:f>
        <x:v>5913.4</x:v>
      </x:c>
      <x:c r="F394" s="11" t="n">
        <x:f>SUMIFS('Payments'!$E$5:$E$429,'Payments'!$B$5:$B$429,A394,'Payments'!$D$5:$D$429,"&lt;="&amp;'Start Here'!$B$5)</x:f>
        <x:v>5913.4</x:v>
      </x:c>
      <x:c r="G394" s="11" t="n">
        <x:f>ROUND(E394-F394,2)</x:f>
        <x:v>0</x:v>
      </x:c>
      <x:c r="H394" s="2" t="n">
        <x:f>IF(G394&gt;0,MAX(0,'Start Here'!$B$5-D394),0)</x:f>
        <x:v>0</x:v>
      </x:c>
      <x:c r="I394" s="2" t="str">
        <x:f>IF(G394=0,"Paid",IF(H394=0,"Current",IF(H394&lt;=30,"1-30",IF(H394&lt;=60,"31-60",IF(H394&lt;=90,"61-90","91+")))))</x:f>
        <x:v>Paid</x:v>
      </x:c>
      <x:c r="J394" s="2" t="n">
        <x:f>IF(G394=0,0,IF(H394=0,1,IF(H394&lt;=30,2,IF(H394&lt;=60,3,IF(H394&lt;=90,4,5)))))</x:f>
        <x:v>0</x:v>
      </x:c>
      <x:c r="K394" s="2" t="str">
        <x:f>'Invoices'!F394</x:f>
        <x:v>No</x:v>
      </x:c>
      <x:c r="L394" s="10" t="n">
        <x:f>'Start Here'!$B$5</x:f>
        <x:v>46295</x:v>
      </x:c>
    </x:row>
    <x:row r="395" ht="23" customHeight="1">
      <x:c r="A395" s="2" t="str">
        <x:f>'Invoices'!A395</x:f>
        <x:v>INV00391</x:v>
      </x:c>
      <x:c r="B395" s="2" t="str">
        <x:f>'Invoices'!B395</x:f>
        <x:v>C036</x:v>
      </x:c>
      <x:c r="C395" s="10" t="n">
        <x:f>'Invoices'!C395</x:f>
        <x:v>46163</x:v>
      </x:c>
      <x:c r="D395" s="10" t="n">
        <x:f>'Invoices'!D395</x:f>
        <x:v>46178</x:v>
      </x:c>
      <x:c r="E395" s="11" t="n">
        <x:f>'Invoices'!E395</x:f>
        <x:v>4278.58</x:v>
      </x:c>
      <x:c r="F395" s="11" t="n">
        <x:f>SUMIFS('Payments'!$E$5:$E$429,'Payments'!$B$5:$B$429,A395,'Payments'!$D$5:$D$429,"&lt;="&amp;'Start Here'!$B$5)</x:f>
        <x:v>4278.58</x:v>
      </x:c>
      <x:c r="G395" s="11" t="n">
        <x:f>ROUND(E395-F395,2)</x:f>
        <x:v>0</x:v>
      </x:c>
      <x:c r="H395" s="2" t="n">
        <x:f>IF(G395&gt;0,MAX(0,'Start Here'!$B$5-D395),0)</x:f>
        <x:v>0</x:v>
      </x:c>
      <x:c r="I395" s="2" t="str">
        <x:f>IF(G395=0,"Paid",IF(H395=0,"Current",IF(H395&lt;=30,"1-30",IF(H395&lt;=60,"31-60",IF(H395&lt;=90,"61-90","91+")))))</x:f>
        <x:v>Paid</x:v>
      </x:c>
      <x:c r="J395" s="2" t="n">
        <x:f>IF(G395=0,0,IF(H395=0,1,IF(H395&lt;=30,2,IF(H395&lt;=60,3,IF(H395&lt;=90,4,5)))))</x:f>
        <x:v>0</x:v>
      </x:c>
      <x:c r="K395" s="2" t="str">
        <x:f>'Invoices'!F395</x:f>
        <x:v>No</x:v>
      </x:c>
      <x:c r="L395" s="10" t="n">
        <x:f>'Start Here'!$B$5</x:f>
        <x:v>46295</x:v>
      </x:c>
    </x:row>
    <x:row r="396" ht="23" customHeight="1">
      <x:c r="A396" s="2" t="str">
        <x:f>'Invoices'!A396</x:f>
        <x:v>INV00392</x:v>
      </x:c>
      <x:c r="B396" s="2" t="str">
        <x:f>'Invoices'!B396</x:f>
        <x:v>C006</x:v>
      </x:c>
      <x:c r="C396" s="10" t="n">
        <x:f>'Invoices'!C396</x:f>
        <x:v>46173</x:v>
      </x:c>
      <x:c r="D396" s="10" t="n">
        <x:f>'Invoices'!D396</x:f>
        <x:v>46203</x:v>
      </x:c>
      <x:c r="E396" s="11" t="n">
        <x:f>'Invoices'!E396</x:f>
        <x:v>17676.65</x:v>
      </x:c>
      <x:c r="F396" s="11" t="n">
        <x:f>SUMIFS('Payments'!$E$5:$E$429,'Payments'!$B$5:$B$429,A396,'Payments'!$D$5:$D$429,"&lt;="&amp;'Start Here'!$B$5)</x:f>
        <x:v>17676.65</x:v>
      </x:c>
      <x:c r="G396" s="11" t="n">
        <x:f>ROUND(E396-F396,2)</x:f>
        <x:v>0</x:v>
      </x:c>
      <x:c r="H396" s="2" t="n">
        <x:f>IF(G396&gt;0,MAX(0,'Start Here'!$B$5-D396),0)</x:f>
        <x:v>0</x:v>
      </x:c>
      <x:c r="I396" s="2" t="str">
        <x:f>IF(G396=0,"Paid",IF(H396=0,"Current",IF(H396&lt;=30,"1-30",IF(H396&lt;=60,"31-60",IF(H396&lt;=90,"61-90","91+")))))</x:f>
        <x:v>Paid</x:v>
      </x:c>
      <x:c r="J396" s="2" t="n">
        <x:f>IF(G396=0,0,IF(H396=0,1,IF(H396&lt;=30,2,IF(H396&lt;=60,3,IF(H396&lt;=90,4,5)))))</x:f>
        <x:v>0</x:v>
      </x:c>
      <x:c r="K396" s="2" t="str">
        <x:f>'Invoices'!F396</x:f>
        <x:v>No</x:v>
      </x:c>
      <x:c r="L396" s="10" t="n">
        <x:f>'Start Here'!$B$5</x:f>
        <x:v>46295</x:v>
      </x:c>
    </x:row>
    <x:row r="397" ht="23" customHeight="1">
      <x:c r="A397" s="2" t="str">
        <x:f>'Invoices'!A397</x:f>
        <x:v>INV00393</x:v>
      </x:c>
      <x:c r="B397" s="2" t="str">
        <x:f>'Invoices'!B397</x:f>
        <x:v>C030</x:v>
      </x:c>
      <x:c r="C397" s="10" t="n">
        <x:f>'Invoices'!C397</x:f>
        <x:v>46028</x:v>
      </x:c>
      <x:c r="D397" s="10" t="n">
        <x:f>'Invoices'!D397</x:f>
        <x:v>46058</x:v>
      </x:c>
      <x:c r="E397" s="11" t="n">
        <x:f>'Invoices'!E397</x:f>
        <x:v>2166.74</x:v>
      </x:c>
      <x:c r="F397" s="11" t="n">
        <x:f>SUMIFS('Payments'!$E$5:$E$429,'Payments'!$B$5:$B$429,A397,'Payments'!$D$5:$D$429,"&lt;="&amp;'Start Here'!$B$5)</x:f>
        <x:v>2166.74</x:v>
      </x:c>
      <x:c r="G397" s="11" t="n">
        <x:f>ROUND(E397-F397,2)</x:f>
        <x:v>0</x:v>
      </x:c>
      <x:c r="H397" s="2" t="n">
        <x:f>IF(G397&gt;0,MAX(0,'Start Here'!$B$5-D397),0)</x:f>
        <x:v>0</x:v>
      </x:c>
      <x:c r="I397" s="2" t="str">
        <x:f>IF(G397=0,"Paid",IF(H397=0,"Current",IF(H397&lt;=30,"1-30",IF(H397&lt;=60,"31-60",IF(H397&lt;=90,"61-90","91+")))))</x:f>
        <x:v>Paid</x:v>
      </x:c>
      <x:c r="J397" s="2" t="n">
        <x:f>IF(G397=0,0,IF(H397=0,1,IF(H397&lt;=30,2,IF(H397&lt;=60,3,IF(H397&lt;=90,4,5)))))</x:f>
        <x:v>0</x:v>
      </x:c>
      <x:c r="K397" s="2" t="str">
        <x:f>'Invoices'!F397</x:f>
        <x:v>No</x:v>
      </x:c>
      <x:c r="L397" s="10" t="n">
        <x:f>'Start Here'!$B$5</x:f>
        <x:v>46295</x:v>
      </x:c>
    </x:row>
    <x:row r="398" ht="23" customHeight="1">
      <x:c r="A398" s="2" t="str">
        <x:f>'Invoices'!A398</x:f>
        <x:v>INV00394</x:v>
      </x:c>
      <x:c r="B398" s="2" t="str">
        <x:f>'Invoices'!B398</x:f>
        <x:v>C028</x:v>
      </x:c>
      <x:c r="C398" s="10" t="n">
        <x:f>'Invoices'!C398</x:f>
        <x:v>46065</x:v>
      </x:c>
      <x:c r="D398" s="10" t="n">
        <x:f>'Invoices'!D398</x:f>
        <x:v>46095</x:v>
      </x:c>
      <x:c r="E398" s="11" t="n">
        <x:f>'Invoices'!E398</x:f>
        <x:v>17154.29</x:v>
      </x:c>
      <x:c r="F398" s="11" t="n">
        <x:f>SUMIFS('Payments'!$E$5:$E$429,'Payments'!$B$5:$B$429,A398,'Payments'!$D$5:$D$429,"&lt;="&amp;'Start Here'!$B$5)</x:f>
        <x:v>17154.29</x:v>
      </x:c>
      <x:c r="G398" s="11" t="n">
        <x:f>ROUND(E398-F398,2)</x:f>
        <x:v>0</x:v>
      </x:c>
      <x:c r="H398" s="2" t="n">
        <x:f>IF(G398&gt;0,MAX(0,'Start Here'!$B$5-D398),0)</x:f>
        <x:v>0</x:v>
      </x:c>
      <x:c r="I398" s="2" t="str">
        <x:f>IF(G398=0,"Paid",IF(H398=0,"Current",IF(H398&lt;=30,"1-30",IF(H398&lt;=60,"31-60",IF(H398&lt;=90,"61-90","91+")))))</x:f>
        <x:v>Paid</x:v>
      </x:c>
      <x:c r="J398" s="2" t="n">
        <x:f>IF(G398=0,0,IF(H398=0,1,IF(H398&lt;=30,2,IF(H398&lt;=60,3,IF(H398&lt;=90,4,5)))))</x:f>
        <x:v>0</x:v>
      </x:c>
      <x:c r="K398" s="2" t="str">
        <x:f>'Invoices'!F398</x:f>
        <x:v>No</x:v>
      </x:c>
      <x:c r="L398" s="10" t="n">
        <x:f>'Start Here'!$B$5</x:f>
        <x:v>46295</x:v>
      </x:c>
    </x:row>
    <x:row r="399" ht="23" customHeight="1">
      <x:c r="A399" s="2" t="str">
        <x:f>'Invoices'!A399</x:f>
        <x:v>INV00395</x:v>
      </x:c>
      <x:c r="B399" s="2" t="str">
        <x:f>'Invoices'!B399</x:f>
        <x:v>C032</x:v>
      </x:c>
      <x:c r="C399" s="10" t="n">
        <x:f>'Invoices'!C399</x:f>
        <x:v>46044</x:v>
      </x:c>
      <x:c r="D399" s="10" t="n">
        <x:f>'Invoices'!D399</x:f>
        <x:v>46104</x:v>
      </x:c>
      <x:c r="E399" s="11" t="n">
        <x:f>'Invoices'!E399</x:f>
        <x:v>9360.46</x:v>
      </x:c>
      <x:c r="F399" s="11" t="n">
        <x:f>SUMIFS('Payments'!$E$5:$E$429,'Payments'!$B$5:$B$429,A399,'Payments'!$D$5:$D$429,"&lt;="&amp;'Start Here'!$B$5)</x:f>
        <x:v>3276.16</x:v>
      </x:c>
      <x:c r="G399" s="11" t="n">
        <x:f>ROUND(E399-F399,2)</x:f>
        <x:v>6084.3</x:v>
      </x:c>
      <x:c r="H399" s="2" t="n">
        <x:f>IF(G399&gt;0,MAX(0,'Start Here'!$B$5-D399),0)</x:f>
        <x:v>191</x:v>
      </x:c>
      <x:c r="I399" s="2" t="str">
        <x:f>IF(G399=0,"Paid",IF(H399=0,"Current",IF(H399&lt;=30,"1-30",IF(H399&lt;=60,"31-60",IF(H399&lt;=90,"61-90","91+")))))</x:f>
        <x:v>91+</x:v>
      </x:c>
      <x:c r="J399" s="2" t="n">
        <x:f>IF(G399=0,0,IF(H399=0,1,IF(H399&lt;=30,2,IF(H399&lt;=60,3,IF(H399&lt;=90,4,5)))))</x:f>
        <x:v>5</x:v>
      </x:c>
      <x:c r="K399" s="2" t="str">
        <x:f>'Invoices'!F399</x:f>
        <x:v>Yes</x:v>
      </x:c>
      <x:c r="L399" s="10" t="n">
        <x:f>'Start Here'!$B$5</x:f>
        <x:v>46295</x:v>
      </x:c>
    </x:row>
    <x:row r="400" ht="23" customHeight="1">
      <x:c r="A400" s="2" t="str">
        <x:f>'Invoices'!A400</x:f>
        <x:v>INV00396</x:v>
      </x:c>
      <x:c r="B400" s="2" t="str">
        <x:f>'Invoices'!B400</x:f>
        <x:v>C001</x:v>
      </x:c>
      <x:c r="C400" s="10" t="n">
        <x:f>'Invoices'!C400</x:f>
        <x:v>46112</x:v>
      </x:c>
      <x:c r="D400" s="10" t="n">
        <x:f>'Invoices'!D400</x:f>
        <x:v>46142</x:v>
      </x:c>
      <x:c r="E400" s="11" t="n">
        <x:f>'Invoices'!E400</x:f>
        <x:v>10309.32</x:v>
      </x:c>
      <x:c r="F400" s="11" t="n">
        <x:f>SUMIFS('Payments'!$E$5:$E$429,'Payments'!$B$5:$B$429,A400,'Payments'!$D$5:$D$429,"&lt;="&amp;'Start Here'!$B$5)</x:f>
        <x:v>10309.32</x:v>
      </x:c>
      <x:c r="G400" s="11" t="n">
        <x:f>ROUND(E400-F400,2)</x:f>
        <x:v>0</x:v>
      </x:c>
      <x:c r="H400" s="2" t="n">
        <x:f>IF(G400&gt;0,MAX(0,'Start Here'!$B$5-D400),0)</x:f>
        <x:v>0</x:v>
      </x:c>
      <x:c r="I400" s="2" t="str">
        <x:f>IF(G400=0,"Paid",IF(H400=0,"Current",IF(H400&lt;=30,"1-30",IF(H400&lt;=60,"31-60",IF(H400&lt;=90,"61-90","91+")))))</x:f>
        <x:v>Paid</x:v>
      </x:c>
      <x:c r="J400" s="2" t="n">
        <x:f>IF(G400=0,0,IF(H400=0,1,IF(H400&lt;=30,2,IF(H400&lt;=60,3,IF(H400&lt;=90,4,5)))))</x:f>
        <x:v>0</x:v>
      </x:c>
      <x:c r="K400" s="2" t="str">
        <x:f>'Invoices'!F400</x:f>
        <x:v>No</x:v>
      </x:c>
      <x:c r="L400" s="10" t="n">
        <x:f>'Start Here'!$B$5</x:f>
        <x:v>46295</x:v>
      </x:c>
    </x:row>
    <x:row r="401" ht="23" customHeight="1">
      <x:c r="A401" s="2" t="str">
        <x:f>'Invoices'!A401</x:f>
        <x:v>INV00397</x:v>
      </x:c>
      <x:c r="B401" s="2" t="str">
        <x:f>'Invoices'!B401</x:f>
        <x:v>C024</x:v>
      </x:c>
      <x:c r="C401" s="10" t="n">
        <x:f>'Invoices'!C401</x:f>
        <x:v>46285</x:v>
      </x:c>
      <x:c r="D401" s="10" t="n">
        <x:f>'Invoices'!D401</x:f>
        <x:v>46300</x:v>
      </x:c>
      <x:c r="E401" s="11" t="n">
        <x:f>'Invoices'!E401</x:f>
        <x:v>14960.28</x:v>
      </x:c>
      <x:c r="F401" s="11" t="n">
        <x:f>SUMIFS('Payments'!$E$5:$E$429,'Payments'!$B$5:$B$429,A401,'Payments'!$D$5:$D$429,"&lt;="&amp;'Start Here'!$B$5)</x:f>
        <x:v>0</x:v>
      </x:c>
      <x:c r="G401" s="11" t="n">
        <x:f>ROUND(E401-F401,2)</x:f>
        <x:v>14960.28</x:v>
      </x:c>
      <x:c r="H401" s="2" t="n">
        <x:f>IF(G401&gt;0,MAX(0,'Start Here'!$B$5-D401),0)</x:f>
        <x:v>0</x:v>
      </x:c>
      <x:c r="I401" s="2" t="str">
        <x:f>IF(G401=0,"Paid",IF(H401=0,"Current",IF(H401&lt;=30,"1-30",IF(H401&lt;=60,"31-60",IF(H401&lt;=90,"61-90","91+")))))</x:f>
        <x:v>Current</x:v>
      </x:c>
      <x:c r="J401" s="2" t="n">
        <x:f>IF(G401=0,0,IF(H401=0,1,IF(H401&lt;=30,2,IF(H401&lt;=60,3,IF(H401&lt;=90,4,5)))))</x:f>
        <x:v>1</x:v>
      </x:c>
      <x:c r="K401" s="2" t="str">
        <x:f>'Invoices'!F401</x:f>
        <x:v>No</x:v>
      </x:c>
      <x:c r="L401" s="10" t="n">
        <x:f>'Start Here'!$B$5</x:f>
        <x:v>46295</x:v>
      </x:c>
    </x:row>
    <x:row r="402" ht="23" customHeight="1">
      <x:c r="A402" s="2" t="str">
        <x:f>'Invoices'!A402</x:f>
        <x:v>INV00398</x:v>
      </x:c>
      <x:c r="B402" s="2" t="str">
        <x:f>'Invoices'!B402</x:f>
        <x:v>C027</x:v>
      </x:c>
      <x:c r="C402" s="10" t="n">
        <x:f>'Invoices'!C402</x:f>
        <x:v>46239</x:v>
      </x:c>
      <x:c r="D402" s="10" t="n">
        <x:f>'Invoices'!D402</x:f>
        <x:v>46269</x:v>
      </x:c>
      <x:c r="E402" s="11" t="n">
        <x:f>'Invoices'!E402</x:f>
        <x:v>1658.61</x:v>
      </x:c>
      <x:c r="F402" s="11" t="n">
        <x:f>SUMIFS('Payments'!$E$5:$E$429,'Payments'!$B$5:$B$429,A402,'Payments'!$D$5:$D$429,"&lt;="&amp;'Start Here'!$B$5)</x:f>
        <x:v>1658.61</x:v>
      </x:c>
      <x:c r="G402" s="11" t="n">
        <x:f>ROUND(E402-F402,2)</x:f>
        <x:v>0</x:v>
      </x:c>
      <x:c r="H402" s="2" t="n">
        <x:f>IF(G402&gt;0,MAX(0,'Start Here'!$B$5-D402),0)</x:f>
        <x:v>0</x:v>
      </x:c>
      <x:c r="I402" s="2" t="str">
        <x:f>IF(G402=0,"Paid",IF(H402=0,"Current",IF(H402&lt;=30,"1-30",IF(H402&lt;=60,"31-60",IF(H402&lt;=90,"61-90","91+")))))</x:f>
        <x:v>Paid</x:v>
      </x:c>
      <x:c r="J402" s="2" t="n">
        <x:f>IF(G402=0,0,IF(H402=0,1,IF(H402&lt;=30,2,IF(H402&lt;=60,3,IF(H402&lt;=90,4,5)))))</x:f>
        <x:v>0</x:v>
      </x:c>
      <x:c r="K402" s="2" t="str">
        <x:f>'Invoices'!F402</x:f>
        <x:v>No</x:v>
      </x:c>
      <x:c r="L402" s="10" t="n">
        <x:f>'Start Here'!$B$5</x:f>
        <x:v>46295</x:v>
      </x:c>
    </x:row>
    <x:row r="403" ht="23" customHeight="1">
      <x:c r="A403" s="2" t="str">
        <x:f>'Invoices'!A403</x:f>
        <x:v>INV00399</x:v>
      </x:c>
      <x:c r="B403" s="2" t="str">
        <x:f>'Invoices'!B403</x:f>
        <x:v>C006</x:v>
      </x:c>
      <x:c r="C403" s="10" t="n">
        <x:f>'Invoices'!C403</x:f>
        <x:v>46150</x:v>
      </x:c>
      <x:c r="D403" s="10" t="n">
        <x:f>'Invoices'!D403</x:f>
        <x:v>46210</x:v>
      </x:c>
      <x:c r="E403" s="11" t="n">
        <x:f>'Invoices'!E403</x:f>
        <x:v>8607.76</x:v>
      </x:c>
      <x:c r="F403" s="11" t="n">
        <x:f>SUMIFS('Payments'!$E$5:$E$429,'Payments'!$B$5:$B$429,A403,'Payments'!$D$5:$D$429,"&lt;="&amp;'Start Here'!$B$5)</x:f>
        <x:v>0</x:v>
      </x:c>
      <x:c r="G403" s="11" t="n">
        <x:f>ROUND(E403-F403,2)</x:f>
        <x:v>8607.76</x:v>
      </x:c>
      <x:c r="H403" s="2" t="n">
        <x:f>IF(G403&gt;0,MAX(0,'Start Here'!$B$5-D403),0)</x:f>
        <x:v>85</x:v>
      </x:c>
      <x:c r="I403" s="2" t="str">
        <x:f>IF(G403=0,"Paid",IF(H403=0,"Current",IF(H403&lt;=30,"1-30",IF(H403&lt;=60,"31-60",IF(H403&lt;=90,"61-90","91+")))))</x:f>
        <x:v>61-90</x:v>
      </x:c>
      <x:c r="J403" s="2" t="n">
        <x:f>IF(G403=0,0,IF(H403=0,1,IF(H403&lt;=30,2,IF(H403&lt;=60,3,IF(H403&lt;=90,4,5)))))</x:f>
        <x:v>4</x:v>
      </x:c>
      <x:c r="K403" s="2" t="str">
        <x:f>'Invoices'!F403</x:f>
        <x:v>Yes</x:v>
      </x:c>
      <x:c r="L403" s="10" t="n">
        <x:f>'Start Here'!$B$5</x:f>
        <x:v>46295</x:v>
      </x:c>
    </x:row>
    <x:row r="404" ht="23" customHeight="1">
      <x:c r="A404" s="2" t="str">
        <x:f>'Invoices'!A404</x:f>
        <x:v>INV00400</x:v>
      </x:c>
      <x:c r="B404" s="2" t="str">
        <x:f>'Invoices'!B404</x:f>
        <x:v>C018</x:v>
      </x:c>
      <x:c r="C404" s="10" t="n">
        <x:f>'Invoices'!C404</x:f>
        <x:v>46047</x:v>
      </x:c>
      <x:c r="D404" s="10" t="n">
        <x:f>'Invoices'!D404</x:f>
        <x:v>46077</x:v>
      </x:c>
      <x:c r="E404" s="11" t="n">
        <x:f>'Invoices'!E404</x:f>
        <x:v>14945.36</x:v>
      </x:c>
      <x:c r="F404" s="11" t="n">
        <x:f>SUMIFS('Payments'!$E$5:$E$429,'Payments'!$B$5:$B$429,A404,'Payments'!$D$5:$D$429,"&lt;="&amp;'Start Here'!$B$5)</x:f>
        <x:v>14945.36</x:v>
      </x:c>
      <x:c r="G404" s="11" t="n">
        <x:f>ROUND(E404-F404,2)</x:f>
        <x:v>0</x:v>
      </x:c>
      <x:c r="H404" s="2" t="n">
        <x:f>IF(G404&gt;0,MAX(0,'Start Here'!$B$5-D404),0)</x:f>
        <x:v>0</x:v>
      </x:c>
      <x:c r="I404" s="2" t="str">
        <x:f>IF(G404=0,"Paid",IF(H404=0,"Current",IF(H404&lt;=30,"1-30",IF(H404&lt;=60,"31-60",IF(H404&lt;=90,"61-90","91+")))))</x:f>
        <x:v>Paid</x:v>
      </x:c>
      <x:c r="J404" s="2" t="n">
        <x:f>IF(G404=0,0,IF(H404=0,1,IF(H404&lt;=30,2,IF(H404&lt;=60,3,IF(H404&lt;=90,4,5)))))</x:f>
        <x:v>0</x:v>
      </x:c>
      <x:c r="K404" s="2" t="str">
        <x:f>'Invoices'!F404</x:f>
        <x:v>No</x:v>
      </x:c>
      <x:c r="L404" s="10" t="n">
        <x:f>'Start Here'!$B$5</x:f>
        <x:v>46295</x:v>
      </x:c>
    </x:row>
    <x:row r="405" ht="23" customHeight="1">
      <x:c r="A405" s="2" t="str">
        <x:f>'Invoices'!A405</x:f>
        <x:v>INV00401</x:v>
      </x:c>
      <x:c r="B405" s="2" t="str">
        <x:f>'Invoices'!B405</x:f>
        <x:v>C033</x:v>
      </x:c>
      <x:c r="C405" s="10" t="n">
        <x:f>'Invoices'!C405</x:f>
        <x:v>46229</x:v>
      </x:c>
      <x:c r="D405" s="10" t="n">
        <x:f>'Invoices'!D405</x:f>
        <x:v>46259</x:v>
      </x:c>
      <x:c r="E405" s="11" t="n">
        <x:f>'Invoices'!E405</x:f>
        <x:v>10711.61</x:v>
      </x:c>
      <x:c r="F405" s="11" t="n">
        <x:f>SUMIFS('Payments'!$E$5:$E$429,'Payments'!$B$5:$B$429,A405,'Payments'!$D$5:$D$429,"&lt;="&amp;'Start Here'!$B$5)</x:f>
        <x:v>10711.61</x:v>
      </x:c>
      <x:c r="G405" s="11" t="n">
        <x:f>ROUND(E405-F405,2)</x:f>
        <x:v>0</x:v>
      </x:c>
      <x:c r="H405" s="2" t="n">
        <x:f>IF(G405&gt;0,MAX(0,'Start Here'!$B$5-D405),0)</x:f>
        <x:v>0</x:v>
      </x:c>
      <x:c r="I405" s="2" t="str">
        <x:f>IF(G405=0,"Paid",IF(H405=0,"Current",IF(H405&lt;=30,"1-30",IF(H405&lt;=60,"31-60",IF(H405&lt;=90,"61-90","91+")))))</x:f>
        <x:v>Paid</x:v>
      </x:c>
      <x:c r="J405" s="2" t="n">
        <x:f>IF(G405=0,0,IF(H405=0,1,IF(H405&lt;=30,2,IF(H405&lt;=60,3,IF(H405&lt;=90,4,5)))))</x:f>
        <x:v>0</x:v>
      </x:c>
      <x:c r="K405" s="2" t="str">
        <x:f>'Invoices'!F405</x:f>
        <x:v>No</x:v>
      </x:c>
      <x:c r="L405" s="10" t="n">
        <x:f>'Start Here'!$B$5</x:f>
        <x:v>46295</x:v>
      </x:c>
    </x:row>
    <x:row r="406" ht="23" customHeight="1">
      <x:c r="A406" s="2" t="str">
        <x:f>'Invoices'!A406</x:f>
        <x:v>INV00402</x:v>
      </x:c>
      <x:c r="B406" s="2" t="str">
        <x:f>'Invoices'!B406</x:f>
        <x:v>C038</x:v>
      </x:c>
      <x:c r="C406" s="10" t="n">
        <x:f>'Invoices'!C406</x:f>
        <x:v>46036</x:v>
      </x:c>
      <x:c r="D406" s="10" t="n">
        <x:f>'Invoices'!D406</x:f>
        <x:v>46051</x:v>
      </x:c>
      <x:c r="E406" s="11" t="n">
        <x:f>'Invoices'!E406</x:f>
        <x:v>12602</x:v>
      </x:c>
      <x:c r="F406" s="11" t="n">
        <x:f>SUMIFS('Payments'!$E$5:$E$429,'Payments'!$B$5:$B$429,A406,'Payments'!$D$5:$D$429,"&lt;="&amp;'Start Here'!$B$5)</x:f>
        <x:v>12602</x:v>
      </x:c>
      <x:c r="G406" s="11" t="n">
        <x:f>ROUND(E406-F406,2)</x:f>
        <x:v>0</x:v>
      </x:c>
      <x:c r="H406" s="2" t="n">
        <x:f>IF(G406&gt;0,MAX(0,'Start Here'!$B$5-D406),0)</x:f>
        <x:v>0</x:v>
      </x:c>
      <x:c r="I406" s="2" t="str">
        <x:f>IF(G406=0,"Paid",IF(H406=0,"Current",IF(H406&lt;=30,"1-30",IF(H406&lt;=60,"31-60",IF(H406&lt;=90,"61-90","91+")))))</x:f>
        <x:v>Paid</x:v>
      </x:c>
      <x:c r="J406" s="2" t="n">
        <x:f>IF(G406=0,0,IF(H406=0,1,IF(H406&lt;=30,2,IF(H406&lt;=60,3,IF(H406&lt;=90,4,5)))))</x:f>
        <x:v>0</x:v>
      </x:c>
      <x:c r="K406" s="2" t="str">
        <x:f>'Invoices'!F406</x:f>
        <x:v>No</x:v>
      </x:c>
      <x:c r="L406" s="10" t="n">
        <x:f>'Start Here'!$B$5</x:f>
        <x:v>46295</x:v>
      </x:c>
    </x:row>
    <x:row r="407" ht="23" customHeight="1">
      <x:c r="A407" s="2" t="str">
        <x:f>'Invoices'!A407</x:f>
        <x:v>INV00403</x:v>
      </x:c>
      <x:c r="B407" s="2" t="str">
        <x:f>'Invoices'!B407</x:f>
        <x:v>C031</x:v>
      </x:c>
      <x:c r="C407" s="10" t="n">
        <x:f>'Invoices'!C407</x:f>
        <x:v>46262</x:v>
      </x:c>
      <x:c r="D407" s="10" t="n">
        <x:f>'Invoices'!D407</x:f>
        <x:v>46277</x:v>
      </x:c>
      <x:c r="E407" s="11" t="n">
        <x:f>'Invoices'!E407</x:f>
        <x:v>17592.94</x:v>
      </x:c>
      <x:c r="F407" s="11" t="n">
        <x:f>SUMIFS('Payments'!$E$5:$E$429,'Payments'!$B$5:$B$429,A407,'Payments'!$D$5:$D$429,"&lt;="&amp;'Start Here'!$B$5)</x:f>
        <x:v>0</x:v>
      </x:c>
      <x:c r="G407" s="11" t="n">
        <x:f>ROUND(E407-F407,2)</x:f>
        <x:v>17592.94</x:v>
      </x:c>
      <x:c r="H407" s="2" t="n">
        <x:f>IF(G407&gt;0,MAX(0,'Start Here'!$B$5-D407),0)</x:f>
        <x:v>18</x:v>
      </x:c>
      <x:c r="I407" s="2" t="str">
        <x:f>IF(G407=0,"Paid",IF(H407=0,"Current",IF(H407&lt;=30,"1-30",IF(H407&lt;=60,"31-60",IF(H407&lt;=90,"61-90","91+")))))</x:f>
        <x:v>1-30</x:v>
      </x:c>
      <x:c r="J407" s="2" t="n">
        <x:f>IF(G407=0,0,IF(H407=0,1,IF(H407&lt;=30,2,IF(H407&lt;=60,3,IF(H407&lt;=90,4,5)))))</x:f>
        <x:v>2</x:v>
      </x:c>
      <x:c r="K407" s="2" t="str">
        <x:f>'Invoices'!F407</x:f>
        <x:v>No</x:v>
      </x:c>
      <x:c r="L407" s="10" t="n">
        <x:f>'Start Here'!$B$5</x:f>
        <x:v>46295</x:v>
      </x:c>
    </x:row>
    <x:row r="408" ht="23" customHeight="1">
      <x:c r="A408" s="2" t="str">
        <x:f>'Invoices'!A408</x:f>
        <x:v>INV00404</x:v>
      </x:c>
      <x:c r="B408" s="2" t="str">
        <x:f>'Invoices'!B408</x:f>
        <x:v>C025</x:v>
      </x:c>
      <x:c r="C408" s="10" t="n">
        <x:f>'Invoices'!C408</x:f>
        <x:v>46070</x:v>
      </x:c>
      <x:c r="D408" s="10" t="n">
        <x:f>'Invoices'!D408</x:f>
        <x:v>46130</x:v>
      </x:c>
      <x:c r="E408" s="11" t="n">
        <x:f>'Invoices'!E408</x:f>
        <x:v>12698.29</x:v>
      </x:c>
      <x:c r="F408" s="11" t="n">
        <x:f>SUMIFS('Payments'!$E$5:$E$429,'Payments'!$B$5:$B$429,A408,'Payments'!$D$5:$D$429,"&lt;="&amp;'Start Here'!$B$5)</x:f>
        <x:v>12698.29</x:v>
      </x:c>
      <x:c r="G408" s="11" t="n">
        <x:f>ROUND(E408-F408,2)</x:f>
        <x:v>0</x:v>
      </x:c>
      <x:c r="H408" s="2" t="n">
        <x:f>IF(G408&gt;0,MAX(0,'Start Here'!$B$5-D408),0)</x:f>
        <x:v>0</x:v>
      </x:c>
      <x:c r="I408" s="2" t="str">
        <x:f>IF(G408=0,"Paid",IF(H408=0,"Current",IF(H408&lt;=30,"1-30",IF(H408&lt;=60,"31-60",IF(H408&lt;=90,"61-90","91+")))))</x:f>
        <x:v>Paid</x:v>
      </x:c>
      <x:c r="J408" s="2" t="n">
        <x:f>IF(G408=0,0,IF(H408=0,1,IF(H408&lt;=30,2,IF(H408&lt;=60,3,IF(H408&lt;=90,4,5)))))</x:f>
        <x:v>0</x:v>
      </x:c>
      <x:c r="K408" s="2" t="str">
        <x:f>'Invoices'!F408</x:f>
        <x:v>No</x:v>
      </x:c>
      <x:c r="L408" s="10" t="n">
        <x:f>'Start Here'!$B$5</x:f>
        <x:v>46295</x:v>
      </x:c>
    </x:row>
    <x:row r="409" ht="23" customHeight="1">
      <x:c r="A409" s="2" t="str">
        <x:f>'Invoices'!A409</x:f>
        <x:v>INV00405</x:v>
      </x:c>
      <x:c r="B409" s="2" t="str">
        <x:f>'Invoices'!B409</x:f>
        <x:v>C031</x:v>
      </x:c>
      <x:c r="C409" s="10" t="n">
        <x:f>'Invoices'!C409</x:f>
        <x:v>46225</x:v>
      </x:c>
      <x:c r="D409" s="10" t="n">
        <x:f>'Invoices'!D409</x:f>
        <x:v>46255</x:v>
      </x:c>
      <x:c r="E409" s="11" t="n">
        <x:f>'Invoices'!E409</x:f>
        <x:v>5072.39</x:v>
      </x:c>
      <x:c r="F409" s="11" t="n">
        <x:f>SUMIFS('Payments'!$E$5:$E$429,'Payments'!$B$5:$B$429,A409,'Payments'!$D$5:$D$429,"&lt;="&amp;'Start Here'!$B$5)</x:f>
        <x:v>5072.39</x:v>
      </x:c>
      <x:c r="G409" s="11" t="n">
        <x:f>ROUND(E409-F409,2)</x:f>
        <x:v>0</x:v>
      </x:c>
      <x:c r="H409" s="2" t="n">
        <x:f>IF(G409&gt;0,MAX(0,'Start Here'!$B$5-D409),0)</x:f>
        <x:v>0</x:v>
      </x:c>
      <x:c r="I409" s="2" t="str">
        <x:f>IF(G409=0,"Paid",IF(H409=0,"Current",IF(H409&lt;=30,"1-30",IF(H409&lt;=60,"31-60",IF(H409&lt;=90,"61-90","91+")))))</x:f>
        <x:v>Paid</x:v>
      </x:c>
      <x:c r="J409" s="2" t="n">
        <x:f>IF(G409=0,0,IF(H409=0,1,IF(H409&lt;=30,2,IF(H409&lt;=60,3,IF(H409&lt;=90,4,5)))))</x:f>
        <x:v>0</x:v>
      </x:c>
      <x:c r="K409" s="2" t="str">
        <x:f>'Invoices'!F409</x:f>
        <x:v>No</x:v>
      </x:c>
      <x:c r="L409" s="10" t="n">
        <x:f>'Start Here'!$B$5</x:f>
        <x:v>46295</x:v>
      </x:c>
    </x:row>
    <x:row r="410" ht="23" customHeight="1">
      <x:c r="A410" s="2" t="str">
        <x:f>'Invoices'!A410</x:f>
        <x:v>INV00406</x:v>
      </x:c>
      <x:c r="B410" s="2" t="str">
        <x:f>'Invoices'!B410</x:f>
        <x:v>C034</x:v>
      </x:c>
      <x:c r="C410" s="10" t="n">
        <x:f>'Invoices'!C410</x:f>
        <x:v>46122</x:v>
      </x:c>
      <x:c r="D410" s="10" t="n">
        <x:f>'Invoices'!D410</x:f>
        <x:v>46167</x:v>
      </x:c>
      <x:c r="E410" s="11" t="n">
        <x:f>'Invoices'!E410</x:f>
        <x:v>18628.65</x:v>
      </x:c>
      <x:c r="F410" s="11" t="n">
        <x:f>SUMIFS('Payments'!$E$5:$E$429,'Payments'!$B$5:$B$429,A410,'Payments'!$D$5:$D$429,"&lt;="&amp;'Start Here'!$B$5)</x:f>
        <x:v>18628.65</x:v>
      </x:c>
      <x:c r="G410" s="11" t="n">
        <x:f>ROUND(E410-F410,2)</x:f>
        <x:v>0</x:v>
      </x:c>
      <x:c r="H410" s="2" t="n">
        <x:f>IF(G410&gt;0,MAX(0,'Start Here'!$B$5-D410),0)</x:f>
        <x:v>0</x:v>
      </x:c>
      <x:c r="I410" s="2" t="str">
        <x:f>IF(G410=0,"Paid",IF(H410=0,"Current",IF(H410&lt;=30,"1-30",IF(H410&lt;=60,"31-60",IF(H410&lt;=90,"61-90","91+")))))</x:f>
        <x:v>Paid</x:v>
      </x:c>
      <x:c r="J410" s="2" t="n">
        <x:f>IF(G410=0,0,IF(H410=0,1,IF(H410&lt;=30,2,IF(H410&lt;=60,3,IF(H410&lt;=90,4,5)))))</x:f>
        <x:v>0</x:v>
      </x:c>
      <x:c r="K410" s="2" t="str">
        <x:f>'Invoices'!F410</x:f>
        <x:v>No</x:v>
      </x:c>
      <x:c r="L410" s="10" t="n">
        <x:f>'Start Here'!$B$5</x:f>
        <x:v>46295</x:v>
      </x:c>
    </x:row>
    <x:row r="411" ht="23" customHeight="1">
      <x:c r="A411" s="2" t="str">
        <x:f>'Invoices'!A411</x:f>
        <x:v>INV00407</x:v>
      </x:c>
      <x:c r="B411" s="2" t="str">
        <x:f>'Invoices'!B411</x:f>
        <x:v>C009</x:v>
      </x:c>
      <x:c r="C411" s="10" t="n">
        <x:f>'Invoices'!C411</x:f>
        <x:v>46107</x:v>
      </x:c>
      <x:c r="D411" s="10" t="n">
        <x:f>'Invoices'!D411</x:f>
        <x:v>46167</x:v>
      </x:c>
      <x:c r="E411" s="11" t="n">
        <x:f>'Invoices'!E411</x:f>
        <x:v>6164.67</x:v>
      </x:c>
      <x:c r="F411" s="11" t="n">
        <x:f>SUMIFS('Payments'!$E$5:$E$429,'Payments'!$B$5:$B$429,A411,'Payments'!$D$5:$D$429,"&lt;="&amp;'Start Here'!$B$5)</x:f>
        <x:v>6164.67</x:v>
      </x:c>
      <x:c r="G411" s="11" t="n">
        <x:f>ROUND(E411-F411,2)</x:f>
        <x:v>0</x:v>
      </x:c>
      <x:c r="H411" s="2" t="n">
        <x:f>IF(G411&gt;0,MAX(0,'Start Here'!$B$5-D411),0)</x:f>
        <x:v>0</x:v>
      </x:c>
      <x:c r="I411" s="2" t="str">
        <x:f>IF(G411=0,"Paid",IF(H411=0,"Current",IF(H411&lt;=30,"1-30",IF(H411&lt;=60,"31-60",IF(H411&lt;=90,"61-90","91+")))))</x:f>
        <x:v>Paid</x:v>
      </x:c>
      <x:c r="J411" s="2" t="n">
        <x:f>IF(G411=0,0,IF(H411=0,1,IF(H411&lt;=30,2,IF(H411&lt;=60,3,IF(H411&lt;=90,4,5)))))</x:f>
        <x:v>0</x:v>
      </x:c>
      <x:c r="K411" s="2" t="str">
        <x:f>'Invoices'!F411</x:f>
        <x:v>No</x:v>
      </x:c>
      <x:c r="L411" s="10" t="n">
        <x:f>'Start Here'!$B$5</x:f>
        <x:v>46295</x:v>
      </x:c>
    </x:row>
    <x:row r="412" ht="23" customHeight="1">
      <x:c r="A412" s="2" t="str">
        <x:f>'Invoices'!A412</x:f>
        <x:v>INV00408</x:v>
      </x:c>
      <x:c r="B412" s="2" t="str">
        <x:f>'Invoices'!B412</x:f>
        <x:v>C004</x:v>
      </x:c>
      <x:c r="C412" s="10" t="n">
        <x:f>'Invoices'!C412</x:f>
        <x:v>46134</x:v>
      </x:c>
      <x:c r="D412" s="10" t="n">
        <x:f>'Invoices'!D412</x:f>
        <x:v>46164</x:v>
      </x:c>
      <x:c r="E412" s="11" t="n">
        <x:f>'Invoices'!E412</x:f>
        <x:v>11975.48</x:v>
      </x:c>
      <x:c r="F412" s="11" t="n">
        <x:f>SUMIFS('Payments'!$E$5:$E$429,'Payments'!$B$5:$B$429,A412,'Payments'!$D$5:$D$429,"&lt;="&amp;'Start Here'!$B$5)</x:f>
        <x:v>11975.48</x:v>
      </x:c>
      <x:c r="G412" s="11" t="n">
        <x:f>ROUND(E412-F412,2)</x:f>
        <x:v>0</x:v>
      </x:c>
      <x:c r="H412" s="2" t="n">
        <x:f>IF(G412&gt;0,MAX(0,'Start Here'!$B$5-D412),0)</x:f>
        <x:v>0</x:v>
      </x:c>
      <x:c r="I412" s="2" t="str">
        <x:f>IF(G412=0,"Paid",IF(H412=0,"Current",IF(H412&lt;=30,"1-30",IF(H412&lt;=60,"31-60",IF(H412&lt;=90,"61-90","91+")))))</x:f>
        <x:v>Paid</x:v>
      </x:c>
      <x:c r="J412" s="2" t="n">
        <x:f>IF(G412=0,0,IF(H412=0,1,IF(H412&lt;=30,2,IF(H412&lt;=60,3,IF(H412&lt;=90,4,5)))))</x:f>
        <x:v>0</x:v>
      </x:c>
      <x:c r="K412" s="2" t="str">
        <x:f>'Invoices'!F412</x:f>
        <x:v>No</x:v>
      </x:c>
      <x:c r="L412" s="10" t="n">
        <x:f>'Start Here'!$B$5</x:f>
        <x:v>46295</x:v>
      </x:c>
    </x:row>
    <x:row r="413" ht="23" customHeight="1">
      <x:c r="A413" s="2" t="str">
        <x:f>'Invoices'!A413</x:f>
        <x:v>INV00409</x:v>
      </x:c>
      <x:c r="B413" s="2" t="str">
        <x:f>'Invoices'!B413</x:f>
        <x:v>C020</x:v>
      </x:c>
      <x:c r="C413" s="10" t="n">
        <x:f>'Invoices'!C413</x:f>
        <x:v>46127</x:v>
      </x:c>
      <x:c r="D413" s="10" t="n">
        <x:f>'Invoices'!D413</x:f>
        <x:v>46172</x:v>
      </x:c>
      <x:c r="E413" s="11" t="n">
        <x:f>'Invoices'!E413</x:f>
        <x:v>12476.82</x:v>
      </x:c>
      <x:c r="F413" s="11" t="n">
        <x:f>SUMIFS('Payments'!$E$5:$E$429,'Payments'!$B$5:$B$429,A413,'Payments'!$D$5:$D$429,"&lt;="&amp;'Start Here'!$B$5)</x:f>
        <x:v>12476.82</x:v>
      </x:c>
      <x:c r="G413" s="11" t="n">
        <x:f>ROUND(E413-F413,2)</x:f>
        <x:v>0</x:v>
      </x:c>
      <x:c r="H413" s="2" t="n">
        <x:f>IF(G413&gt;0,MAX(0,'Start Here'!$B$5-D413),0)</x:f>
        <x:v>0</x:v>
      </x:c>
      <x:c r="I413" s="2" t="str">
        <x:f>IF(G413=0,"Paid",IF(H413=0,"Current",IF(H413&lt;=30,"1-30",IF(H413&lt;=60,"31-60",IF(H413&lt;=90,"61-90","91+")))))</x:f>
        <x:v>Paid</x:v>
      </x:c>
      <x:c r="J413" s="2" t="n">
        <x:f>IF(G413=0,0,IF(H413=0,1,IF(H413&lt;=30,2,IF(H413&lt;=60,3,IF(H413&lt;=90,4,5)))))</x:f>
        <x:v>0</x:v>
      </x:c>
      <x:c r="K413" s="2" t="str">
        <x:f>'Invoices'!F413</x:f>
        <x:v>No</x:v>
      </x:c>
      <x:c r="L413" s="10" t="n">
        <x:f>'Start Here'!$B$5</x:f>
        <x:v>46295</x:v>
      </x:c>
    </x:row>
    <x:row r="414" ht="23" customHeight="1">
      <x:c r="A414" s="2" t="str">
        <x:f>'Invoices'!A414</x:f>
        <x:v>INV00410</x:v>
      </x:c>
      <x:c r="B414" s="2" t="str">
        <x:f>'Invoices'!B414</x:f>
        <x:v>C010</x:v>
      </x:c>
      <x:c r="C414" s="10" t="n">
        <x:f>'Invoices'!C414</x:f>
        <x:v>46279</x:v>
      </x:c>
      <x:c r="D414" s="10" t="n">
        <x:f>'Invoices'!D414</x:f>
        <x:v>46339</x:v>
      </x:c>
      <x:c r="E414" s="11" t="n">
        <x:f>'Invoices'!E414</x:f>
        <x:v>13601.63</x:v>
      </x:c>
      <x:c r="F414" s="11" t="n">
        <x:f>SUMIFS('Payments'!$E$5:$E$429,'Payments'!$B$5:$B$429,A414,'Payments'!$D$5:$D$429,"&lt;="&amp;'Start Here'!$B$5)</x:f>
        <x:v>0</x:v>
      </x:c>
      <x:c r="G414" s="11" t="n">
        <x:f>ROUND(E414-F414,2)</x:f>
        <x:v>13601.63</x:v>
      </x:c>
      <x:c r="H414" s="2" t="n">
        <x:f>IF(G414&gt;0,MAX(0,'Start Here'!$B$5-D414),0)</x:f>
        <x:v>0</x:v>
      </x:c>
      <x:c r="I414" s="2" t="str">
        <x:f>IF(G414=0,"Paid",IF(H414=0,"Current",IF(H414&lt;=30,"1-30",IF(H414&lt;=60,"31-60",IF(H414&lt;=90,"61-90","91+")))))</x:f>
        <x:v>Current</x:v>
      </x:c>
      <x:c r="J414" s="2" t="n">
        <x:f>IF(G414=0,0,IF(H414=0,1,IF(H414&lt;=30,2,IF(H414&lt;=60,3,IF(H414&lt;=90,4,5)))))</x:f>
        <x:v>1</x:v>
      </x:c>
      <x:c r="K414" s="2" t="str">
        <x:f>'Invoices'!F414</x:f>
        <x:v>No</x:v>
      </x:c>
      <x:c r="L414" s="10" t="n">
        <x:f>'Start Here'!$B$5</x:f>
        <x:v>46295</x:v>
      </x:c>
    </x:row>
    <x:row r="415" ht="23" customHeight="1">
      <x:c r="A415" s="2" t="str">
        <x:f>'Invoices'!A415</x:f>
        <x:v>INV00411</x:v>
      </x:c>
      <x:c r="B415" s="2" t="str">
        <x:f>'Invoices'!B415</x:f>
        <x:v>C004</x:v>
      </x:c>
      <x:c r="C415" s="10" t="n">
        <x:f>'Invoices'!C415</x:f>
        <x:v>46163</x:v>
      </x:c>
      <x:c r="D415" s="10" t="n">
        <x:f>'Invoices'!D415</x:f>
        <x:v>46223</x:v>
      </x:c>
      <x:c r="E415" s="11" t="n">
        <x:f>'Invoices'!E415</x:f>
        <x:v>18522.81</x:v>
      </x:c>
      <x:c r="F415" s="11" t="n">
        <x:f>SUMIFS('Payments'!$E$5:$E$429,'Payments'!$B$5:$B$429,A415,'Payments'!$D$5:$D$429,"&lt;="&amp;'Start Here'!$B$5)</x:f>
        <x:v>18522.81</x:v>
      </x:c>
      <x:c r="G415" s="11" t="n">
        <x:f>ROUND(E415-F415,2)</x:f>
        <x:v>0</x:v>
      </x:c>
      <x:c r="H415" s="2" t="n">
        <x:f>IF(G415&gt;0,MAX(0,'Start Here'!$B$5-D415),0)</x:f>
        <x:v>0</x:v>
      </x:c>
      <x:c r="I415" s="2" t="str">
        <x:f>IF(G415=0,"Paid",IF(H415=0,"Current",IF(H415&lt;=30,"1-30",IF(H415&lt;=60,"31-60",IF(H415&lt;=90,"61-90","91+")))))</x:f>
        <x:v>Paid</x:v>
      </x:c>
      <x:c r="J415" s="2" t="n">
        <x:f>IF(G415=0,0,IF(H415=0,1,IF(H415&lt;=30,2,IF(H415&lt;=60,3,IF(H415&lt;=90,4,5)))))</x:f>
        <x:v>0</x:v>
      </x:c>
      <x:c r="K415" s="2" t="str">
        <x:f>'Invoices'!F415</x:f>
        <x:v>No</x:v>
      </x:c>
      <x:c r="L415" s="10" t="n">
        <x:f>'Start Here'!$B$5</x:f>
        <x:v>46295</x:v>
      </x:c>
    </x:row>
    <x:row r="416" ht="23" customHeight="1">
      <x:c r="A416" s="2" t="str">
        <x:f>'Invoices'!A416</x:f>
        <x:v>INV00412</x:v>
      </x:c>
      <x:c r="B416" s="2" t="str">
        <x:f>'Invoices'!B416</x:f>
        <x:v>C001</x:v>
      </x:c>
      <x:c r="C416" s="10" t="n">
        <x:f>'Invoices'!C416</x:f>
        <x:v>46260</x:v>
      </x:c>
      <x:c r="D416" s="10" t="n">
        <x:f>'Invoices'!D416</x:f>
        <x:v>46320</x:v>
      </x:c>
      <x:c r="E416" s="11" t="n">
        <x:f>'Invoices'!E416</x:f>
        <x:v>7744.3</x:v>
      </x:c>
      <x:c r="F416" s="11" t="n">
        <x:f>SUMIFS('Payments'!$E$5:$E$429,'Payments'!$B$5:$B$429,A416,'Payments'!$D$5:$D$429,"&lt;="&amp;'Start Here'!$B$5)</x:f>
        <x:v>0</x:v>
      </x:c>
      <x:c r="G416" s="11" t="n">
        <x:f>ROUND(E416-F416,2)</x:f>
        <x:v>7744.3</x:v>
      </x:c>
      <x:c r="H416" s="2" t="n">
        <x:f>IF(G416&gt;0,MAX(0,'Start Here'!$B$5-D416),0)</x:f>
        <x:v>0</x:v>
      </x:c>
      <x:c r="I416" s="2" t="str">
        <x:f>IF(G416=0,"Paid",IF(H416=0,"Current",IF(H416&lt;=30,"1-30",IF(H416&lt;=60,"31-60",IF(H416&lt;=90,"61-90","91+")))))</x:f>
        <x:v>Current</x:v>
      </x:c>
      <x:c r="J416" s="2" t="n">
        <x:f>IF(G416=0,0,IF(H416=0,1,IF(H416&lt;=30,2,IF(H416&lt;=60,3,IF(H416&lt;=90,4,5)))))</x:f>
        <x:v>1</x:v>
      </x:c>
      <x:c r="K416" s="2" t="str">
        <x:f>'Invoices'!F416</x:f>
        <x:v>No</x:v>
      </x:c>
      <x:c r="L416" s="10" t="n">
        <x:f>'Start Here'!$B$5</x:f>
        <x:v>46295</x:v>
      </x:c>
    </x:row>
    <x:row r="417" ht="23" customHeight="1">
      <x:c r="A417" s="2" t="str">
        <x:f>'Invoices'!A417</x:f>
        <x:v>INV00413</x:v>
      </x:c>
      <x:c r="B417" s="2" t="str">
        <x:f>'Invoices'!B417</x:f>
        <x:v>C037</x:v>
      </x:c>
      <x:c r="C417" s="10" t="n">
        <x:f>'Invoices'!C417</x:f>
        <x:v>46291</x:v>
      </x:c>
      <x:c r="D417" s="10" t="n">
        <x:f>'Invoices'!D417</x:f>
        <x:v>46321</x:v>
      </x:c>
      <x:c r="E417" s="11" t="n">
        <x:f>'Invoices'!E417</x:f>
        <x:v>4211.38</x:v>
      </x:c>
      <x:c r="F417" s="11" t="n">
        <x:f>SUMIFS('Payments'!$E$5:$E$429,'Payments'!$B$5:$B$429,A417,'Payments'!$D$5:$D$429,"&lt;="&amp;'Start Here'!$B$5)</x:f>
        <x:v>0</x:v>
      </x:c>
      <x:c r="G417" s="11" t="n">
        <x:f>ROUND(E417-F417,2)</x:f>
        <x:v>4211.38</x:v>
      </x:c>
      <x:c r="H417" s="2" t="n">
        <x:f>IF(G417&gt;0,MAX(0,'Start Here'!$B$5-D417),0)</x:f>
        <x:v>0</x:v>
      </x:c>
      <x:c r="I417" s="2" t="str">
        <x:f>IF(G417=0,"Paid",IF(H417=0,"Current",IF(H417&lt;=30,"1-30",IF(H417&lt;=60,"31-60",IF(H417&lt;=90,"61-90","91+")))))</x:f>
        <x:v>Current</x:v>
      </x:c>
      <x:c r="J417" s="2" t="n">
        <x:f>IF(G417=0,0,IF(H417=0,1,IF(H417&lt;=30,2,IF(H417&lt;=60,3,IF(H417&lt;=90,4,5)))))</x:f>
        <x:v>1</x:v>
      </x:c>
      <x:c r="K417" s="2" t="str">
        <x:f>'Invoices'!F417</x:f>
        <x:v>No</x:v>
      </x:c>
      <x:c r="L417" s="10" t="n">
        <x:f>'Start Here'!$B$5</x:f>
        <x:v>46295</x:v>
      </x:c>
    </x:row>
    <x:row r="418" ht="23" customHeight="1">
      <x:c r="A418" s="2" t="str">
        <x:f>'Invoices'!A418</x:f>
        <x:v>INV00414</x:v>
      </x:c>
      <x:c r="B418" s="2" t="str">
        <x:f>'Invoices'!B418</x:f>
        <x:v>C039</x:v>
      </x:c>
      <x:c r="C418" s="10" t="n">
        <x:f>'Invoices'!C418</x:f>
        <x:v>46075</x:v>
      </x:c>
      <x:c r="D418" s="10" t="n">
        <x:f>'Invoices'!D418</x:f>
        <x:v>46120</x:v>
      </x:c>
      <x:c r="E418" s="11" t="n">
        <x:f>'Invoices'!E418</x:f>
        <x:v>14292.95</x:v>
      </x:c>
      <x:c r="F418" s="11" t="n">
        <x:f>SUMIFS('Payments'!$E$5:$E$429,'Payments'!$B$5:$B$429,A418,'Payments'!$D$5:$D$429,"&lt;="&amp;'Start Here'!$B$5)</x:f>
        <x:v>14292.95</x:v>
      </x:c>
      <x:c r="G418" s="11" t="n">
        <x:f>ROUND(E418-F418,2)</x:f>
        <x:v>0</x:v>
      </x:c>
      <x:c r="H418" s="2" t="n">
        <x:f>IF(G418&gt;0,MAX(0,'Start Here'!$B$5-D418),0)</x:f>
        <x:v>0</x:v>
      </x:c>
      <x:c r="I418" s="2" t="str">
        <x:f>IF(G418=0,"Paid",IF(H418=0,"Current",IF(H418&lt;=30,"1-30",IF(H418&lt;=60,"31-60",IF(H418&lt;=90,"61-90","91+")))))</x:f>
        <x:v>Paid</x:v>
      </x:c>
      <x:c r="J418" s="2" t="n">
        <x:f>IF(G418=0,0,IF(H418=0,1,IF(H418&lt;=30,2,IF(H418&lt;=60,3,IF(H418&lt;=90,4,5)))))</x:f>
        <x:v>0</x:v>
      </x:c>
      <x:c r="K418" s="2" t="str">
        <x:f>'Invoices'!F418</x:f>
        <x:v>No</x:v>
      </x:c>
      <x:c r="L418" s="10" t="n">
        <x:f>'Start Here'!$B$5</x:f>
        <x:v>46295</x:v>
      </x:c>
    </x:row>
    <x:row r="419" ht="23" customHeight="1">
      <x:c r="A419" s="2" t="str">
        <x:f>'Invoices'!A419</x:f>
        <x:v>INV00415</x:v>
      </x:c>
      <x:c r="B419" s="2" t="str">
        <x:f>'Invoices'!B419</x:f>
        <x:v>C008</x:v>
      </x:c>
      <x:c r="C419" s="10" t="n">
        <x:f>'Invoices'!C419</x:f>
        <x:v>46210</x:v>
      </x:c>
      <x:c r="D419" s="10" t="n">
        <x:f>'Invoices'!D419</x:f>
        <x:v>46240</x:v>
      </x:c>
      <x:c r="E419" s="11" t="n">
        <x:f>'Invoices'!E419</x:f>
        <x:v>5288.59</x:v>
      </x:c>
      <x:c r="F419" s="11" t="n">
        <x:f>SUMIFS('Payments'!$E$5:$E$429,'Payments'!$B$5:$B$429,A419,'Payments'!$D$5:$D$429,"&lt;="&amp;'Start Here'!$B$5)</x:f>
        <x:v>0</x:v>
      </x:c>
      <x:c r="G419" s="11" t="n">
        <x:f>ROUND(E419-F419,2)</x:f>
        <x:v>5288.59</x:v>
      </x:c>
      <x:c r="H419" s="2" t="n">
        <x:f>IF(G419&gt;0,MAX(0,'Start Here'!$B$5-D419),0)</x:f>
        <x:v>55</x:v>
      </x:c>
      <x:c r="I419" s="2" t="str">
        <x:f>IF(G419=0,"Paid",IF(H419=0,"Current",IF(H419&lt;=30,"1-30",IF(H419&lt;=60,"31-60",IF(H419&lt;=90,"61-90","91+")))))</x:f>
        <x:v>31-60</x:v>
      </x:c>
      <x:c r="J419" s="2" t="n">
        <x:f>IF(G419=0,0,IF(H419=0,1,IF(H419&lt;=30,2,IF(H419&lt;=60,3,IF(H419&lt;=90,4,5)))))</x:f>
        <x:v>3</x:v>
      </x:c>
      <x:c r="K419" s="2" t="str">
        <x:f>'Invoices'!F419</x:f>
        <x:v>Yes</x:v>
      </x:c>
      <x:c r="L419" s="10" t="n">
        <x:f>'Start Here'!$B$5</x:f>
        <x:v>46295</x:v>
      </x:c>
    </x:row>
    <x:row r="420" ht="23" customHeight="1">
      <x:c r="A420" s="2" t="str">
        <x:f>'Invoices'!A420</x:f>
        <x:v>INV00416</x:v>
      </x:c>
      <x:c r="B420" s="2" t="str">
        <x:f>'Invoices'!B420</x:f>
        <x:v>C001</x:v>
      </x:c>
      <x:c r="C420" s="10" t="n">
        <x:f>'Invoices'!C420</x:f>
        <x:v>46154</x:v>
      </x:c>
      <x:c r="D420" s="10" t="n">
        <x:f>'Invoices'!D420</x:f>
        <x:v>46214</x:v>
      </x:c>
      <x:c r="E420" s="11" t="n">
        <x:f>'Invoices'!E420</x:f>
        <x:v>15773.78</x:v>
      </x:c>
      <x:c r="F420" s="11" t="n">
        <x:f>SUMIFS('Payments'!$E$5:$E$429,'Payments'!$B$5:$B$429,A420,'Payments'!$D$5:$D$429,"&lt;="&amp;'Start Here'!$B$5)</x:f>
        <x:v>15773.78</x:v>
      </x:c>
      <x:c r="G420" s="11" t="n">
        <x:f>ROUND(E420-F420,2)</x:f>
        <x:v>0</x:v>
      </x:c>
      <x:c r="H420" s="2" t="n">
        <x:f>IF(G420&gt;0,MAX(0,'Start Here'!$B$5-D420),0)</x:f>
        <x:v>0</x:v>
      </x:c>
      <x:c r="I420" s="2" t="str">
        <x:f>IF(G420=0,"Paid",IF(H420=0,"Current",IF(H420&lt;=30,"1-30",IF(H420&lt;=60,"31-60",IF(H420&lt;=90,"61-90","91+")))))</x:f>
        <x:v>Paid</x:v>
      </x:c>
      <x:c r="J420" s="2" t="n">
        <x:f>IF(G420=0,0,IF(H420=0,1,IF(H420&lt;=30,2,IF(H420&lt;=60,3,IF(H420&lt;=90,4,5)))))</x:f>
        <x:v>0</x:v>
      </x:c>
      <x:c r="K420" s="2" t="str">
        <x:f>'Invoices'!F420</x:f>
        <x:v>No</x:v>
      </x:c>
      <x:c r="L420" s="10" t="n">
        <x:f>'Start Here'!$B$5</x:f>
        <x:v>46295</x:v>
      </x:c>
    </x:row>
    <x:row r="421" ht="23" customHeight="1">
      <x:c r="A421" s="2" t="str">
        <x:f>'Invoices'!A421</x:f>
        <x:v>INV00417</x:v>
      </x:c>
      <x:c r="B421" s="2" t="str">
        <x:f>'Invoices'!B421</x:f>
        <x:v>C022</x:v>
      </x:c>
      <x:c r="C421" s="10" t="n">
        <x:f>'Invoices'!C421</x:f>
        <x:v>46043</x:v>
      </x:c>
      <x:c r="D421" s="10" t="n">
        <x:f>'Invoices'!D421</x:f>
        <x:v>46088</x:v>
      </x:c>
      <x:c r="E421" s="11" t="n">
        <x:f>'Invoices'!E421</x:f>
        <x:v>10157.25</x:v>
      </x:c>
      <x:c r="F421" s="11" t="n">
        <x:f>SUMIFS('Payments'!$E$5:$E$429,'Payments'!$B$5:$B$429,A421,'Payments'!$D$5:$D$429,"&lt;="&amp;'Start Here'!$B$5)</x:f>
        <x:v>0</x:v>
      </x:c>
      <x:c r="G421" s="11" t="n">
        <x:f>ROUND(E421-F421,2)</x:f>
        <x:v>10157.25</x:v>
      </x:c>
      <x:c r="H421" s="2" t="n">
        <x:f>IF(G421&gt;0,MAX(0,'Start Here'!$B$5-D421),0)</x:f>
        <x:v>207</x:v>
      </x:c>
      <x:c r="I421" s="2" t="str">
        <x:f>IF(G421=0,"Paid",IF(H421=0,"Current",IF(H421&lt;=30,"1-30",IF(H421&lt;=60,"31-60",IF(H421&lt;=90,"61-90","91+")))))</x:f>
        <x:v>91+</x:v>
      </x:c>
      <x:c r="J421" s="2" t="n">
        <x:f>IF(G421=0,0,IF(H421=0,1,IF(H421&lt;=30,2,IF(H421&lt;=60,3,IF(H421&lt;=90,4,5)))))</x:f>
        <x:v>5</x:v>
      </x:c>
      <x:c r="K421" s="2" t="str">
        <x:f>'Invoices'!F421</x:f>
        <x:v>Yes</x:v>
      </x:c>
      <x:c r="L421" s="10" t="n">
        <x:f>'Start Here'!$B$5</x:f>
        <x:v>46295</x:v>
      </x:c>
    </x:row>
    <x:row r="422" ht="23" customHeight="1">
      <x:c r="A422" s="2" t="str">
        <x:f>'Invoices'!A422</x:f>
        <x:v>INV00418</x:v>
      </x:c>
      <x:c r="B422" s="2" t="str">
        <x:f>'Invoices'!B422</x:f>
        <x:v>C007</x:v>
      </x:c>
      <x:c r="C422" s="10" t="n">
        <x:f>'Invoices'!C422</x:f>
        <x:v>46108</x:v>
      </x:c>
      <x:c r="D422" s="10" t="n">
        <x:f>'Invoices'!D422</x:f>
        <x:v>46138</x:v>
      </x:c>
      <x:c r="E422" s="11" t="n">
        <x:f>'Invoices'!E422</x:f>
        <x:v>5119.65</x:v>
      </x:c>
      <x:c r="F422" s="11" t="n">
        <x:f>SUMIFS('Payments'!$E$5:$E$429,'Payments'!$B$5:$B$429,A422,'Payments'!$D$5:$D$429,"&lt;="&amp;'Start Here'!$B$5)</x:f>
        <x:v>5119.65</x:v>
      </x:c>
      <x:c r="G422" s="11" t="n">
        <x:f>ROUND(E422-F422,2)</x:f>
        <x:v>0</x:v>
      </x:c>
      <x:c r="H422" s="2" t="n">
        <x:f>IF(G422&gt;0,MAX(0,'Start Here'!$B$5-D422),0)</x:f>
        <x:v>0</x:v>
      </x:c>
      <x:c r="I422" s="2" t="str">
        <x:f>IF(G422=0,"Paid",IF(H422=0,"Current",IF(H422&lt;=30,"1-30",IF(H422&lt;=60,"31-60",IF(H422&lt;=90,"61-90","91+")))))</x:f>
        <x:v>Paid</x:v>
      </x:c>
      <x:c r="J422" s="2" t="n">
        <x:f>IF(G422=0,0,IF(H422=0,1,IF(H422&lt;=30,2,IF(H422&lt;=60,3,IF(H422&lt;=90,4,5)))))</x:f>
        <x:v>0</x:v>
      </x:c>
      <x:c r="K422" s="2" t="str">
        <x:f>'Invoices'!F422</x:f>
        <x:v>No</x:v>
      </x:c>
      <x:c r="L422" s="10" t="n">
        <x:f>'Start Here'!$B$5</x:f>
        <x:v>46295</x:v>
      </x:c>
    </x:row>
    <x:row r="423" ht="23" customHeight="1">
      <x:c r="A423" s="2" t="str">
        <x:f>'Invoices'!A423</x:f>
        <x:v>INV00419</x:v>
      </x:c>
      <x:c r="B423" s="2" t="str">
        <x:f>'Invoices'!B423</x:f>
        <x:v>C032</x:v>
      </x:c>
      <x:c r="C423" s="10" t="n">
        <x:f>'Invoices'!C423</x:f>
        <x:v>46041</x:v>
      </x:c>
      <x:c r="D423" s="10" t="n">
        <x:f>'Invoices'!D423</x:f>
        <x:v>46071</x:v>
      </x:c>
      <x:c r="E423" s="11" t="n">
        <x:f>'Invoices'!E423</x:f>
        <x:v>18104.31</x:v>
      </x:c>
      <x:c r="F423" s="11" t="n">
        <x:f>SUMIFS('Payments'!$E$5:$E$429,'Payments'!$B$5:$B$429,A423,'Payments'!$D$5:$D$429,"&lt;="&amp;'Start Here'!$B$5)</x:f>
        <x:v>18104.31</x:v>
      </x:c>
      <x:c r="G423" s="11" t="n">
        <x:f>ROUND(E423-F423,2)</x:f>
        <x:v>0</x:v>
      </x:c>
      <x:c r="H423" s="2" t="n">
        <x:f>IF(G423&gt;0,MAX(0,'Start Here'!$B$5-D423),0)</x:f>
        <x:v>0</x:v>
      </x:c>
      <x:c r="I423" s="2" t="str">
        <x:f>IF(G423=0,"Paid",IF(H423=0,"Current",IF(H423&lt;=30,"1-30",IF(H423&lt;=60,"31-60",IF(H423&lt;=90,"61-90","91+")))))</x:f>
        <x:v>Paid</x:v>
      </x:c>
      <x:c r="J423" s="2" t="n">
        <x:f>IF(G423=0,0,IF(H423=0,1,IF(H423&lt;=30,2,IF(H423&lt;=60,3,IF(H423&lt;=90,4,5)))))</x:f>
        <x:v>0</x:v>
      </x:c>
      <x:c r="K423" s="2" t="str">
        <x:f>'Invoices'!F423</x:f>
        <x:v>No</x:v>
      </x:c>
      <x:c r="L423" s="10" t="n">
        <x:f>'Start Here'!$B$5</x:f>
        <x:v>46295</x:v>
      </x:c>
    </x:row>
    <x:row r="424" ht="23" customHeight="1">
      <x:c r="A424" s="2" t="str">
        <x:f>'Invoices'!A424</x:f>
        <x:v>INV00420</x:v>
      </x:c>
      <x:c r="B424" s="2" t="str">
        <x:f>'Invoices'!B424</x:f>
        <x:v>C024</x:v>
      </x:c>
      <x:c r="C424" s="10" t="n">
        <x:f>'Invoices'!C424</x:f>
        <x:v>46167</x:v>
      </x:c>
      <x:c r="D424" s="10" t="n">
        <x:f>'Invoices'!D424</x:f>
        <x:v>46197</x:v>
      </x:c>
      <x:c r="E424" s="11" t="n">
        <x:f>'Invoices'!E424</x:f>
        <x:v>19993.72</x:v>
      </x:c>
      <x:c r="F424" s="11" t="n">
        <x:f>SUMIFS('Payments'!$E$5:$E$429,'Payments'!$B$5:$B$429,A424,'Payments'!$D$5:$D$429,"&lt;="&amp;'Start Here'!$B$5)</x:f>
        <x:v>19993.72</x:v>
      </x:c>
      <x:c r="G424" s="11" t="n">
        <x:f>ROUND(E424-F424,2)</x:f>
        <x:v>0</x:v>
      </x:c>
      <x:c r="H424" s="2" t="n">
        <x:f>IF(G424&gt;0,MAX(0,'Start Here'!$B$5-D424),0)</x:f>
        <x:v>0</x:v>
      </x:c>
      <x:c r="I424" s="2" t="str">
        <x:f>IF(G424=0,"Paid",IF(H424=0,"Current",IF(H424&lt;=30,"1-30",IF(H424&lt;=60,"31-60",IF(H424&lt;=90,"61-90","91+")))))</x:f>
        <x:v>Paid</x:v>
      </x:c>
      <x:c r="J424" s="2" t="n">
        <x:f>IF(G424=0,0,IF(H424=0,1,IF(H424&lt;=30,2,IF(H424&lt;=60,3,IF(H424&lt;=90,4,5)))))</x:f>
        <x:v>0</x:v>
      </x:c>
      <x:c r="K424" s="2" t="str">
        <x:f>'Invoices'!F424</x:f>
        <x:v>No</x:v>
      </x:c>
      <x:c r="L424" s="10" t="n">
        <x:f>'Start Here'!$B$5</x:f>
        <x:v>46295</x:v>
      </x:c>
    </x:row>
    <x:row r="425" ht="23" customHeight="1">
      <x:c r="A425" s="2" t="str">
        <x:f>'Invoices'!A425</x:f>
        <x:v>INV00421</x:v>
      </x:c>
      <x:c r="B425" s="2" t="str">
        <x:f>'Invoices'!B425</x:f>
        <x:v>C039</x:v>
      </x:c>
      <x:c r="C425" s="10" t="n">
        <x:f>'Invoices'!C425</x:f>
        <x:v>46282</x:v>
      </x:c>
      <x:c r="D425" s="10" t="n">
        <x:f>'Invoices'!D425</x:f>
        <x:v>46312</x:v>
      </x:c>
      <x:c r="E425" s="11" t="n">
        <x:f>'Invoices'!E425</x:f>
        <x:v>18945.68</x:v>
      </x:c>
      <x:c r="F425" s="11" t="n">
        <x:f>SUMIFS('Payments'!$E$5:$E$429,'Payments'!$B$5:$B$429,A425,'Payments'!$D$5:$D$429,"&lt;="&amp;'Start Here'!$B$5)</x:f>
        <x:v>0</x:v>
      </x:c>
      <x:c r="G425" s="11" t="n">
        <x:f>ROUND(E425-F425,2)</x:f>
        <x:v>18945.68</x:v>
      </x:c>
      <x:c r="H425" s="2" t="n">
        <x:f>IF(G425&gt;0,MAX(0,'Start Here'!$B$5-D425),0)</x:f>
        <x:v>0</x:v>
      </x:c>
      <x:c r="I425" s="2" t="str">
        <x:f>IF(G425=0,"Paid",IF(H425=0,"Current",IF(H425&lt;=30,"1-30",IF(H425&lt;=60,"31-60",IF(H425&lt;=90,"61-90","91+")))))</x:f>
        <x:v>Current</x:v>
      </x:c>
      <x:c r="J425" s="2" t="n">
        <x:f>IF(G425=0,0,IF(H425=0,1,IF(H425&lt;=30,2,IF(H425&lt;=60,3,IF(H425&lt;=90,4,5)))))</x:f>
        <x:v>1</x:v>
      </x:c>
      <x:c r="K425" s="2" t="str">
        <x:f>'Invoices'!F425</x:f>
        <x:v>No</x:v>
      </x:c>
      <x:c r="L425" s="10" t="n">
        <x:f>'Start Here'!$B$5</x:f>
        <x:v>46295</x:v>
      </x:c>
    </x:row>
    <x:row r="426" ht="23" customHeight="1">
      <x:c r="A426" s="2" t="str">
        <x:f>'Invoices'!A426</x:f>
        <x:v>INV00422</x:v>
      </x:c>
      <x:c r="B426" s="2" t="str">
        <x:f>'Invoices'!B426</x:f>
        <x:v>C020</x:v>
      </x:c>
      <x:c r="C426" s="10" t="n">
        <x:f>'Invoices'!C426</x:f>
        <x:v>46034</x:v>
      </x:c>
      <x:c r="D426" s="10" t="n">
        <x:f>'Invoices'!D426</x:f>
        <x:v>46094</x:v>
      </x:c>
      <x:c r="E426" s="11" t="n">
        <x:f>'Invoices'!E426</x:f>
        <x:v>3873.35</x:v>
      </x:c>
      <x:c r="F426" s="11" t="n">
        <x:f>SUMIFS('Payments'!$E$5:$E$429,'Payments'!$B$5:$B$429,A426,'Payments'!$D$5:$D$429,"&lt;="&amp;'Start Here'!$B$5)</x:f>
        <x:v>3873.35</x:v>
      </x:c>
      <x:c r="G426" s="11" t="n">
        <x:f>ROUND(E426-F426,2)</x:f>
        <x:v>0</x:v>
      </x:c>
      <x:c r="H426" s="2" t="n">
        <x:f>IF(G426&gt;0,MAX(0,'Start Here'!$B$5-D426),0)</x:f>
        <x:v>0</x:v>
      </x:c>
      <x:c r="I426" s="2" t="str">
        <x:f>IF(G426=0,"Paid",IF(H426=0,"Current",IF(H426&lt;=30,"1-30",IF(H426&lt;=60,"31-60",IF(H426&lt;=90,"61-90","91+")))))</x:f>
        <x:v>Paid</x:v>
      </x:c>
      <x:c r="J426" s="2" t="n">
        <x:f>IF(G426=0,0,IF(H426=0,1,IF(H426&lt;=30,2,IF(H426&lt;=60,3,IF(H426&lt;=90,4,5)))))</x:f>
        <x:v>0</x:v>
      </x:c>
      <x:c r="K426" s="2" t="str">
        <x:f>'Invoices'!F426</x:f>
        <x:v>No</x:v>
      </x:c>
      <x:c r="L426" s="10" t="n">
        <x:f>'Start Here'!$B$5</x:f>
        <x:v>46295</x:v>
      </x:c>
    </x:row>
    <x:row r="427" ht="23" customHeight="1">
      <x:c r="A427" s="2" t="str">
        <x:f>'Invoices'!A427</x:f>
        <x:v>INV00423</x:v>
      </x:c>
      <x:c r="B427" s="2" t="str">
        <x:f>'Invoices'!B427</x:f>
        <x:v>C018</x:v>
      </x:c>
      <x:c r="C427" s="10" t="n">
        <x:f>'Invoices'!C427</x:f>
        <x:v>46251</x:v>
      </x:c>
      <x:c r="D427" s="10" t="n">
        <x:f>'Invoices'!D427</x:f>
        <x:v>46281</x:v>
      </x:c>
      <x:c r="E427" s="11" t="n">
        <x:f>'Invoices'!E427</x:f>
        <x:v>11786.1</x:v>
      </x:c>
      <x:c r="F427" s="11" t="n">
        <x:f>SUMIFS('Payments'!$E$5:$E$429,'Payments'!$B$5:$B$429,A427,'Payments'!$D$5:$D$429,"&lt;="&amp;'Start Here'!$B$5)</x:f>
        <x:v>0</x:v>
      </x:c>
      <x:c r="G427" s="11" t="n">
        <x:f>ROUND(E427-F427,2)</x:f>
        <x:v>11786.1</x:v>
      </x:c>
      <x:c r="H427" s="2" t="n">
        <x:f>IF(G427&gt;0,MAX(0,'Start Here'!$B$5-D427),0)</x:f>
        <x:v>14</x:v>
      </x:c>
      <x:c r="I427" s="2" t="str">
        <x:f>IF(G427=0,"Paid",IF(H427=0,"Current",IF(H427&lt;=30,"1-30",IF(H427&lt;=60,"31-60",IF(H427&lt;=90,"61-90","91+")))))</x:f>
        <x:v>1-30</x:v>
      </x:c>
      <x:c r="J427" s="2" t="n">
        <x:f>IF(G427=0,0,IF(H427=0,1,IF(H427&lt;=30,2,IF(H427&lt;=60,3,IF(H427&lt;=90,4,5)))))</x:f>
        <x:v>2</x:v>
      </x:c>
      <x:c r="K427" s="2" t="str">
        <x:f>'Invoices'!F427</x:f>
        <x:v>No</x:v>
      </x:c>
      <x:c r="L427" s="10" t="n">
        <x:f>'Start Here'!$B$5</x:f>
        <x:v>46295</x:v>
      </x:c>
    </x:row>
    <x:row r="428" ht="23" customHeight="1">
      <x:c r="A428" s="2" t="str">
        <x:f>'Invoices'!A428</x:f>
        <x:v>INV00424</x:v>
      </x:c>
      <x:c r="B428" s="2" t="str">
        <x:f>'Invoices'!B428</x:f>
        <x:v>C011</x:v>
      </x:c>
      <x:c r="C428" s="10" t="n">
        <x:f>'Invoices'!C428</x:f>
        <x:v>46032</x:v>
      </x:c>
      <x:c r="D428" s="10" t="n">
        <x:f>'Invoices'!D428</x:f>
        <x:v>46092</x:v>
      </x:c>
      <x:c r="E428" s="11" t="n">
        <x:f>'Invoices'!E428</x:f>
        <x:v>12965.11</x:v>
      </x:c>
      <x:c r="F428" s="11" t="n">
        <x:f>SUMIFS('Payments'!$E$5:$E$429,'Payments'!$B$5:$B$429,A428,'Payments'!$D$5:$D$429,"&lt;="&amp;'Start Here'!$B$5)</x:f>
        <x:v>12965.11</x:v>
      </x:c>
      <x:c r="G428" s="11" t="n">
        <x:f>ROUND(E428-F428,2)</x:f>
        <x:v>0</x:v>
      </x:c>
      <x:c r="H428" s="2" t="n">
        <x:f>IF(G428&gt;0,MAX(0,'Start Here'!$B$5-D428),0)</x:f>
        <x:v>0</x:v>
      </x:c>
      <x:c r="I428" s="2" t="str">
        <x:f>IF(G428=0,"Paid",IF(H428=0,"Current",IF(H428&lt;=30,"1-30",IF(H428&lt;=60,"31-60",IF(H428&lt;=90,"61-90","91+")))))</x:f>
        <x:v>Paid</x:v>
      </x:c>
      <x:c r="J428" s="2" t="n">
        <x:f>IF(G428=0,0,IF(H428=0,1,IF(H428&lt;=30,2,IF(H428&lt;=60,3,IF(H428&lt;=90,4,5)))))</x:f>
        <x:v>0</x:v>
      </x:c>
      <x:c r="K428" s="2" t="str">
        <x:f>'Invoices'!F428</x:f>
        <x:v>No</x:v>
      </x:c>
      <x:c r="L428" s="10" t="n">
        <x:f>'Start Here'!$B$5</x:f>
        <x:v>46295</x:v>
      </x:c>
    </x:row>
    <x:row r="429" ht="23" customHeight="1">
      <x:c r="A429" s="2" t="str">
        <x:f>'Invoices'!A429</x:f>
        <x:v>INV00425</x:v>
      </x:c>
      <x:c r="B429" s="2" t="str">
        <x:f>'Invoices'!B429</x:f>
        <x:v>C018</x:v>
      </x:c>
      <x:c r="C429" s="10" t="n">
        <x:f>'Invoices'!C429</x:f>
        <x:v>46128</x:v>
      </x:c>
      <x:c r="D429" s="10" t="n">
        <x:f>'Invoices'!D429</x:f>
        <x:v>46173</x:v>
      </x:c>
      <x:c r="E429" s="11" t="n">
        <x:f>'Invoices'!E429</x:f>
        <x:v>7114.47</x:v>
      </x:c>
      <x:c r="F429" s="11" t="n">
        <x:f>SUMIFS('Payments'!$E$5:$E$429,'Payments'!$B$5:$B$429,A429,'Payments'!$D$5:$D$429,"&lt;="&amp;'Start Here'!$B$5)</x:f>
        <x:v>7114.47</x:v>
      </x:c>
      <x:c r="G429" s="11" t="n">
        <x:f>ROUND(E429-F429,2)</x:f>
        <x:v>0</x:v>
      </x:c>
      <x:c r="H429" s="2" t="n">
        <x:f>IF(G429&gt;0,MAX(0,'Start Here'!$B$5-D429),0)</x:f>
        <x:v>0</x:v>
      </x:c>
      <x:c r="I429" s="2" t="str">
        <x:f>IF(G429=0,"Paid",IF(H429=0,"Current",IF(H429&lt;=30,"1-30",IF(H429&lt;=60,"31-60",IF(H429&lt;=90,"61-90","91+")))))</x:f>
        <x:v>Paid</x:v>
      </x:c>
      <x:c r="J429" s="2" t="n">
        <x:f>IF(G429=0,0,IF(H429=0,1,IF(H429&lt;=30,2,IF(H429&lt;=60,3,IF(H429&lt;=90,4,5)))))</x:f>
        <x:v>0</x:v>
      </x:c>
      <x:c r="K429" s="2" t="str">
        <x:f>'Invoices'!F429</x:f>
        <x:v>No</x:v>
      </x:c>
      <x:c r="L429" s="10" t="n">
        <x:f>'Start Here'!$B$5</x:f>
        <x:v>46295</x:v>
      </x:c>
    </x:row>
    <x:row r="430" ht="23" customHeight="1">
      <x:c r="A430" s="2" t="str">
        <x:f>'Invoices'!A430</x:f>
        <x:v>INV00426</x:v>
      </x:c>
      <x:c r="B430" s="2" t="str">
        <x:f>'Invoices'!B430</x:f>
        <x:v>C038</x:v>
      </x:c>
      <x:c r="C430" s="10" t="n">
        <x:f>'Invoices'!C430</x:f>
        <x:v>46230</x:v>
      </x:c>
      <x:c r="D430" s="10" t="n">
        <x:f>'Invoices'!D430</x:f>
        <x:v>46275</x:v>
      </x:c>
      <x:c r="E430" s="11" t="n">
        <x:f>'Invoices'!E430</x:f>
        <x:v>4979.23</x:v>
      </x:c>
      <x:c r="F430" s="11" t="n">
        <x:f>SUMIFS('Payments'!$E$5:$E$429,'Payments'!$B$5:$B$429,A430,'Payments'!$D$5:$D$429,"&lt;="&amp;'Start Here'!$B$5)</x:f>
        <x:v>1493.77</x:v>
      </x:c>
      <x:c r="G430" s="11" t="n">
        <x:f>ROUND(E430-F430,2)</x:f>
        <x:v>3485.46</x:v>
      </x:c>
      <x:c r="H430" s="2" t="n">
        <x:f>IF(G430&gt;0,MAX(0,'Start Here'!$B$5-D430),0)</x:f>
        <x:v>20</x:v>
      </x:c>
      <x:c r="I430" s="2" t="str">
        <x:f>IF(G430=0,"Paid",IF(H430=0,"Current",IF(H430&lt;=30,"1-30",IF(H430&lt;=60,"31-60",IF(H430&lt;=90,"61-90","91+")))))</x:f>
        <x:v>1-30</x:v>
      </x:c>
      <x:c r="J430" s="2" t="n">
        <x:f>IF(G430=0,0,IF(H430=0,1,IF(H430&lt;=30,2,IF(H430&lt;=60,3,IF(H430&lt;=90,4,5)))))</x:f>
        <x:v>2</x:v>
      </x:c>
      <x:c r="K430" s="2" t="str">
        <x:f>'Invoices'!F430</x:f>
        <x:v>No</x:v>
      </x:c>
      <x:c r="L430" s="10" t="n">
        <x:f>'Start Here'!$B$5</x:f>
        <x:v>46295</x:v>
      </x:c>
    </x:row>
    <x:row r="431" ht="23" customHeight="1">
      <x:c r="A431" s="2" t="str">
        <x:f>'Invoices'!A431</x:f>
        <x:v>INV00427</x:v>
      </x:c>
      <x:c r="B431" s="2" t="str">
        <x:f>'Invoices'!B431</x:f>
        <x:v>C002</x:v>
      </x:c>
      <x:c r="C431" s="10" t="n">
        <x:f>'Invoices'!C431</x:f>
        <x:v>46069</x:v>
      </x:c>
      <x:c r="D431" s="10" t="n">
        <x:f>'Invoices'!D431</x:f>
        <x:v>46099</x:v>
      </x:c>
      <x:c r="E431" s="11" t="n">
        <x:f>'Invoices'!E431</x:f>
        <x:v>7740.04</x:v>
      </x:c>
      <x:c r="F431" s="11" t="n">
        <x:f>SUMIFS('Payments'!$E$5:$E$429,'Payments'!$B$5:$B$429,A431,'Payments'!$D$5:$D$429,"&lt;="&amp;'Start Here'!$B$5)</x:f>
        <x:v>7740.04</x:v>
      </x:c>
      <x:c r="G431" s="11" t="n">
        <x:f>ROUND(E431-F431,2)</x:f>
        <x:v>0</x:v>
      </x:c>
      <x:c r="H431" s="2" t="n">
        <x:f>IF(G431&gt;0,MAX(0,'Start Here'!$B$5-D431),0)</x:f>
        <x:v>0</x:v>
      </x:c>
      <x:c r="I431" s="2" t="str">
        <x:f>IF(G431=0,"Paid",IF(H431=0,"Current",IF(H431&lt;=30,"1-30",IF(H431&lt;=60,"31-60",IF(H431&lt;=90,"61-90","91+")))))</x:f>
        <x:v>Paid</x:v>
      </x:c>
      <x:c r="J431" s="2" t="n">
        <x:f>IF(G431=0,0,IF(H431=0,1,IF(H431&lt;=30,2,IF(H431&lt;=60,3,IF(H431&lt;=90,4,5)))))</x:f>
        <x:v>0</x:v>
      </x:c>
      <x:c r="K431" s="2" t="str">
        <x:f>'Invoices'!F431</x:f>
        <x:v>No</x:v>
      </x:c>
      <x:c r="L431" s="10" t="n">
        <x:f>'Start Here'!$B$5</x:f>
        <x:v>46295</x:v>
      </x:c>
    </x:row>
    <x:row r="432" ht="23" customHeight="1">
      <x:c r="A432" s="2" t="str">
        <x:f>'Invoices'!A432</x:f>
        <x:v>INV00428</x:v>
      </x:c>
      <x:c r="B432" s="2" t="str">
        <x:f>'Invoices'!B432</x:f>
        <x:v>C023</x:v>
      </x:c>
      <x:c r="C432" s="10" t="n">
        <x:f>'Invoices'!C432</x:f>
        <x:v>46094</x:v>
      </x:c>
      <x:c r="D432" s="10" t="n">
        <x:f>'Invoices'!D432</x:f>
        <x:v>46139</x:v>
      </x:c>
      <x:c r="E432" s="11" t="n">
        <x:f>'Invoices'!E432</x:f>
        <x:v>5497.39</x:v>
      </x:c>
      <x:c r="F432" s="11" t="n">
        <x:f>SUMIFS('Payments'!$E$5:$E$429,'Payments'!$B$5:$B$429,A432,'Payments'!$D$5:$D$429,"&lt;="&amp;'Start Here'!$B$5)</x:f>
        <x:v>5497.389999999999</x:v>
      </x:c>
      <x:c r="G432" s="11" t="n">
        <x:f>ROUND(E432-F432,2)</x:f>
        <x:v>0</x:v>
      </x:c>
      <x:c r="H432" s="2" t="n">
        <x:f>IF(G432&gt;0,MAX(0,'Start Here'!$B$5-D432),0)</x:f>
        <x:v>0</x:v>
      </x:c>
      <x:c r="I432" s="2" t="str">
        <x:f>IF(G432=0,"Paid",IF(H432=0,"Current",IF(H432&lt;=30,"1-30",IF(H432&lt;=60,"31-60",IF(H432&lt;=90,"61-90","91+")))))</x:f>
        <x:v>Paid</x:v>
      </x:c>
      <x:c r="J432" s="2" t="n">
        <x:f>IF(G432=0,0,IF(H432=0,1,IF(H432&lt;=30,2,IF(H432&lt;=60,3,IF(H432&lt;=90,4,5)))))</x:f>
        <x:v>0</x:v>
      </x:c>
      <x:c r="K432" s="2" t="str">
        <x:f>'Invoices'!F432</x:f>
        <x:v>No</x:v>
      </x:c>
      <x:c r="L432" s="10" t="n">
        <x:f>'Start Here'!$B$5</x:f>
        <x:v>46295</x:v>
      </x:c>
    </x:row>
    <x:row r="433" ht="23" customHeight="1">
      <x:c r="A433" s="2" t="str">
        <x:f>'Invoices'!A433</x:f>
        <x:v>INV00429</x:v>
      </x:c>
      <x:c r="B433" s="2" t="str">
        <x:f>'Invoices'!B433</x:f>
        <x:v>C018</x:v>
      </x:c>
      <x:c r="C433" s="10" t="n">
        <x:f>'Invoices'!C433</x:f>
        <x:v>46203</x:v>
      </x:c>
      <x:c r="D433" s="10" t="n">
        <x:f>'Invoices'!D433</x:f>
        <x:v>46233</x:v>
      </x:c>
      <x:c r="E433" s="11" t="n">
        <x:f>'Invoices'!E433</x:f>
        <x:v>8444.28</x:v>
      </x:c>
      <x:c r="F433" s="11" t="n">
        <x:f>SUMIFS('Payments'!$E$5:$E$429,'Payments'!$B$5:$B$429,A433,'Payments'!$D$5:$D$429,"&lt;="&amp;'Start Here'!$B$5)</x:f>
        <x:v>8444.279999999999</x:v>
      </x:c>
      <x:c r="G433" s="11" t="n">
        <x:f>ROUND(E433-F433,2)</x:f>
        <x:v>0</x:v>
      </x:c>
      <x:c r="H433" s="2" t="n">
        <x:f>IF(G433&gt;0,MAX(0,'Start Here'!$B$5-D433),0)</x:f>
        <x:v>0</x:v>
      </x:c>
      <x:c r="I433" s="2" t="str">
        <x:f>IF(G433=0,"Paid",IF(H433=0,"Current",IF(H433&lt;=30,"1-30",IF(H433&lt;=60,"31-60",IF(H433&lt;=90,"61-90","91+")))))</x:f>
        <x:v>Paid</x:v>
      </x:c>
      <x:c r="J433" s="2" t="n">
        <x:f>IF(G433=0,0,IF(H433=0,1,IF(H433&lt;=30,2,IF(H433&lt;=60,3,IF(H433&lt;=90,4,5)))))</x:f>
        <x:v>0</x:v>
      </x:c>
      <x:c r="K433" s="2" t="str">
        <x:f>'Invoices'!F433</x:f>
        <x:v>No</x:v>
      </x:c>
      <x:c r="L433" s="10" t="n">
        <x:f>'Start Here'!$B$5</x:f>
        <x:v>46295</x:v>
      </x:c>
    </x:row>
    <x:row r="434" ht="23" customHeight="1">
      <x:c r="A434" s="2" t="str">
        <x:f>'Invoices'!A434</x:f>
        <x:v>INV00430</x:v>
      </x:c>
      <x:c r="B434" s="2" t="str">
        <x:f>'Invoices'!B434</x:f>
        <x:v>C019</x:v>
      </x:c>
      <x:c r="C434" s="10" t="n">
        <x:f>'Invoices'!C434</x:f>
        <x:v>46228</x:v>
      </x:c>
      <x:c r="D434" s="10" t="n">
        <x:f>'Invoices'!D434</x:f>
        <x:v>46258</x:v>
      </x:c>
      <x:c r="E434" s="11" t="n">
        <x:f>'Invoices'!E434</x:f>
        <x:v>2493.56</x:v>
      </x:c>
      <x:c r="F434" s="11" t="n">
        <x:f>SUMIFS('Payments'!$E$5:$E$429,'Payments'!$B$5:$B$429,A434,'Payments'!$D$5:$D$429,"&lt;="&amp;'Start Here'!$B$5)</x:f>
        <x:v>872.75</x:v>
      </x:c>
      <x:c r="G434" s="11" t="n">
        <x:f>ROUND(E434-F434,2)</x:f>
        <x:v>1620.81</x:v>
      </x:c>
      <x:c r="H434" s="2" t="n">
        <x:f>IF(G434&gt;0,MAX(0,'Start Here'!$B$5-D434),0)</x:f>
        <x:v>37</x:v>
      </x:c>
      <x:c r="I434" s="2" t="str">
        <x:f>IF(G434=0,"Paid",IF(H434=0,"Current",IF(H434&lt;=30,"1-30",IF(H434&lt;=60,"31-60",IF(H434&lt;=90,"61-90","91+")))))</x:f>
        <x:v>31-60</x:v>
      </x:c>
      <x:c r="J434" s="2" t="n">
        <x:f>IF(G434=0,0,IF(H434=0,1,IF(H434&lt;=30,2,IF(H434&lt;=60,3,IF(H434&lt;=90,4,5)))))</x:f>
        <x:v>3</x:v>
      </x:c>
      <x:c r="K434" s="2" t="str">
        <x:f>'Invoices'!F434</x:f>
        <x:v>Yes</x:v>
      </x:c>
      <x:c r="L434" s="10" t="n">
        <x:f>'Start Here'!$B$5</x:f>
        <x:v>46295</x:v>
      </x:c>
    </x:row>
    <x:row r="435" ht="23" customHeight="1">
      <x:c r="A435" s="2" t="str">
        <x:f>'Invoices'!A435</x:f>
        <x:v>INV00431</x:v>
      </x:c>
      <x:c r="B435" s="2" t="str">
        <x:f>'Invoices'!B435</x:f>
        <x:v>C004</x:v>
      </x:c>
      <x:c r="C435" s="10" t="n">
        <x:f>'Invoices'!C435</x:f>
        <x:v>46087</x:v>
      </x:c>
      <x:c r="D435" s="10" t="n">
        <x:f>'Invoices'!D435</x:f>
        <x:v>46117</x:v>
      </x:c>
      <x:c r="E435" s="11" t="n">
        <x:f>'Invoices'!E435</x:f>
        <x:v>12434.83</x:v>
      </x:c>
      <x:c r="F435" s="11" t="n">
        <x:f>SUMIFS('Payments'!$E$5:$E$429,'Payments'!$B$5:$B$429,A435,'Payments'!$D$5:$D$429,"&lt;="&amp;'Start Here'!$B$5)</x:f>
        <x:v>12434.83</x:v>
      </x:c>
      <x:c r="G435" s="11" t="n">
        <x:f>ROUND(E435-F435,2)</x:f>
        <x:v>0</x:v>
      </x:c>
      <x:c r="H435" s="2" t="n">
        <x:f>IF(G435&gt;0,MAX(0,'Start Here'!$B$5-D435),0)</x:f>
        <x:v>0</x:v>
      </x:c>
      <x:c r="I435" s="2" t="str">
        <x:f>IF(G435=0,"Paid",IF(H435=0,"Current",IF(H435&lt;=30,"1-30",IF(H435&lt;=60,"31-60",IF(H435&lt;=90,"61-90","91+")))))</x:f>
        <x:v>Paid</x:v>
      </x:c>
      <x:c r="J435" s="2" t="n">
        <x:f>IF(G435=0,0,IF(H435=0,1,IF(H435&lt;=30,2,IF(H435&lt;=60,3,IF(H435&lt;=90,4,5)))))</x:f>
        <x:v>0</x:v>
      </x:c>
      <x:c r="K435" s="2" t="str">
        <x:f>'Invoices'!F435</x:f>
        <x:v>No</x:v>
      </x:c>
      <x:c r="L435" s="10" t="n">
        <x:f>'Start Here'!$B$5</x:f>
        <x:v>46295</x:v>
      </x:c>
    </x:row>
    <x:row r="436" ht="23" customHeight="1">
      <x:c r="A436" s="2" t="str">
        <x:f>'Invoices'!A436</x:f>
        <x:v>INV00432</x:v>
      </x:c>
      <x:c r="B436" s="2" t="str">
        <x:f>'Invoices'!B436</x:f>
        <x:v>C008</x:v>
      </x:c>
      <x:c r="C436" s="10" t="n">
        <x:f>'Invoices'!C436</x:f>
        <x:v>46099</x:v>
      </x:c>
      <x:c r="D436" s="10" t="n">
        <x:f>'Invoices'!D436</x:f>
        <x:v>46114</x:v>
      </x:c>
      <x:c r="E436" s="11" t="n">
        <x:f>'Invoices'!E436</x:f>
        <x:v>13585.15</x:v>
      </x:c>
      <x:c r="F436" s="11" t="n">
        <x:f>SUMIFS('Payments'!$E$5:$E$429,'Payments'!$B$5:$B$429,A436,'Payments'!$D$5:$D$429,"&lt;="&amp;'Start Here'!$B$5)</x:f>
        <x:v>13585.15</x:v>
      </x:c>
      <x:c r="G436" s="11" t="n">
        <x:f>ROUND(E436-F436,2)</x:f>
        <x:v>0</x:v>
      </x:c>
      <x:c r="H436" s="2" t="n">
        <x:f>IF(G436&gt;0,MAX(0,'Start Here'!$B$5-D436),0)</x:f>
        <x:v>0</x:v>
      </x:c>
      <x:c r="I436" s="2" t="str">
        <x:f>IF(G436=0,"Paid",IF(H436=0,"Current",IF(H436&lt;=30,"1-30",IF(H436&lt;=60,"31-60",IF(H436&lt;=90,"61-90","91+")))))</x:f>
        <x:v>Paid</x:v>
      </x:c>
      <x:c r="J436" s="2" t="n">
        <x:f>IF(G436=0,0,IF(H436=0,1,IF(H436&lt;=30,2,IF(H436&lt;=60,3,IF(H436&lt;=90,4,5)))))</x:f>
        <x:v>0</x:v>
      </x:c>
      <x:c r="K436" s="2" t="str">
        <x:f>'Invoices'!F436</x:f>
        <x:v>No</x:v>
      </x:c>
      <x:c r="L436" s="10" t="n">
        <x:f>'Start Here'!$B$5</x:f>
        <x:v>46295</x:v>
      </x:c>
    </x:row>
    <x:row r="437" ht="23" customHeight="1">
      <x:c r="A437" s="2" t="str">
        <x:f>'Invoices'!A437</x:f>
        <x:v>INV00433</x:v>
      </x:c>
      <x:c r="B437" s="2" t="str">
        <x:f>'Invoices'!B437</x:f>
        <x:v>C028</x:v>
      </x:c>
      <x:c r="C437" s="10" t="n">
        <x:f>'Invoices'!C437</x:f>
        <x:v>46094</x:v>
      </x:c>
      <x:c r="D437" s="10" t="n">
        <x:f>'Invoices'!D437</x:f>
        <x:v>46124</x:v>
      </x:c>
      <x:c r="E437" s="11" t="n">
        <x:f>'Invoices'!E437</x:f>
        <x:v>2300.72</x:v>
      </x:c>
      <x:c r="F437" s="11" t="n">
        <x:f>SUMIFS('Payments'!$E$5:$E$429,'Payments'!$B$5:$B$429,A437,'Payments'!$D$5:$D$429,"&lt;="&amp;'Start Here'!$B$5)</x:f>
        <x:v>2300.72</x:v>
      </x:c>
      <x:c r="G437" s="11" t="n">
        <x:f>ROUND(E437-F437,2)</x:f>
        <x:v>0</x:v>
      </x:c>
      <x:c r="H437" s="2" t="n">
        <x:f>IF(G437&gt;0,MAX(0,'Start Here'!$B$5-D437),0)</x:f>
        <x:v>0</x:v>
      </x:c>
      <x:c r="I437" s="2" t="str">
        <x:f>IF(G437=0,"Paid",IF(H437=0,"Current",IF(H437&lt;=30,"1-30",IF(H437&lt;=60,"31-60",IF(H437&lt;=90,"61-90","91+")))))</x:f>
        <x:v>Paid</x:v>
      </x:c>
      <x:c r="J437" s="2" t="n">
        <x:f>IF(G437=0,0,IF(H437=0,1,IF(H437&lt;=30,2,IF(H437&lt;=60,3,IF(H437&lt;=90,4,5)))))</x:f>
        <x:v>0</x:v>
      </x:c>
      <x:c r="K437" s="2" t="str">
        <x:f>'Invoices'!F437</x:f>
        <x:v>No</x:v>
      </x:c>
      <x:c r="L437" s="10" t="n">
        <x:f>'Start Here'!$B$5</x:f>
        <x:v>46295</x:v>
      </x:c>
    </x:row>
    <x:row r="438" ht="23" customHeight="1">
      <x:c r="A438" s="2" t="str">
        <x:f>'Invoices'!A438</x:f>
        <x:v>INV00434</x:v>
      </x:c>
      <x:c r="B438" s="2" t="str">
        <x:f>'Invoices'!B438</x:f>
        <x:v>C037</x:v>
      </x:c>
      <x:c r="C438" s="10" t="n">
        <x:f>'Invoices'!C438</x:f>
        <x:v>46068</x:v>
      </x:c>
      <x:c r="D438" s="10" t="n">
        <x:f>'Invoices'!D438</x:f>
        <x:v>46128</x:v>
      </x:c>
      <x:c r="E438" s="11" t="n">
        <x:f>'Invoices'!E438</x:f>
        <x:v>18567.4</x:v>
      </x:c>
      <x:c r="F438" s="11" t="n">
        <x:f>SUMIFS('Payments'!$E$5:$E$429,'Payments'!$B$5:$B$429,A438,'Payments'!$D$5:$D$429,"&lt;="&amp;'Start Here'!$B$5)</x:f>
        <x:v>18567.4</x:v>
      </x:c>
      <x:c r="G438" s="11" t="n">
        <x:f>ROUND(E438-F438,2)</x:f>
        <x:v>0</x:v>
      </x:c>
      <x:c r="H438" s="2" t="n">
        <x:f>IF(G438&gt;0,MAX(0,'Start Here'!$B$5-D438),0)</x:f>
        <x:v>0</x:v>
      </x:c>
      <x:c r="I438" s="2" t="str">
        <x:f>IF(G438=0,"Paid",IF(H438=0,"Current",IF(H438&lt;=30,"1-30",IF(H438&lt;=60,"31-60",IF(H438&lt;=90,"61-90","91+")))))</x:f>
        <x:v>Paid</x:v>
      </x:c>
      <x:c r="J438" s="2" t="n">
        <x:f>IF(G438=0,0,IF(H438=0,1,IF(H438&lt;=30,2,IF(H438&lt;=60,3,IF(H438&lt;=90,4,5)))))</x:f>
        <x:v>0</x:v>
      </x:c>
      <x:c r="K438" s="2" t="str">
        <x:f>'Invoices'!F438</x:f>
        <x:v>No</x:v>
      </x:c>
      <x:c r="L438" s="10" t="n">
        <x:f>'Start Here'!$B$5</x:f>
        <x:v>46295</x:v>
      </x:c>
    </x:row>
    <x:row r="439" ht="23" customHeight="1">
      <x:c r="A439" s="2" t="str">
        <x:f>'Invoices'!A439</x:f>
        <x:v>INV00435</x:v>
      </x:c>
      <x:c r="B439" s="2" t="str">
        <x:f>'Invoices'!B439</x:f>
        <x:v>C006</x:v>
      </x:c>
      <x:c r="C439" s="10" t="n">
        <x:f>'Invoices'!C439</x:f>
        <x:v>46149</x:v>
      </x:c>
      <x:c r="D439" s="10" t="n">
        <x:f>'Invoices'!D439</x:f>
        <x:v>46179</x:v>
      </x:c>
      <x:c r="E439" s="11" t="n">
        <x:f>'Invoices'!E439</x:f>
        <x:v>5202.38</x:v>
      </x:c>
      <x:c r="F439" s="11" t="n">
        <x:f>SUMIFS('Payments'!$E$5:$E$429,'Payments'!$B$5:$B$429,A439,'Payments'!$D$5:$D$429,"&lt;="&amp;'Start Here'!$B$5)</x:f>
        <x:v>5202.38</x:v>
      </x:c>
      <x:c r="G439" s="11" t="n">
        <x:f>ROUND(E439-F439,2)</x:f>
        <x:v>0</x:v>
      </x:c>
      <x:c r="H439" s="2" t="n">
        <x:f>IF(G439&gt;0,MAX(0,'Start Here'!$B$5-D439),0)</x:f>
        <x:v>0</x:v>
      </x:c>
      <x:c r="I439" s="2" t="str">
        <x:f>IF(G439=0,"Paid",IF(H439=0,"Current",IF(H439&lt;=30,"1-30",IF(H439&lt;=60,"31-60",IF(H439&lt;=90,"61-90","91+")))))</x:f>
        <x:v>Paid</x:v>
      </x:c>
      <x:c r="J439" s="2" t="n">
        <x:f>IF(G439=0,0,IF(H439=0,1,IF(H439&lt;=30,2,IF(H439&lt;=60,3,IF(H439&lt;=90,4,5)))))</x:f>
        <x:v>0</x:v>
      </x:c>
      <x:c r="K439" s="2" t="str">
        <x:f>'Invoices'!F439</x:f>
        <x:v>No</x:v>
      </x:c>
      <x:c r="L439" s="10" t="n">
        <x:f>'Start Here'!$B$5</x:f>
        <x:v>46295</x:v>
      </x:c>
    </x:row>
    <x:row r="440" ht="23" customHeight="1">
      <x:c r="A440" s="2" t="str">
        <x:f>'Invoices'!A440</x:f>
        <x:v>INV00436</x:v>
      </x:c>
      <x:c r="B440" s="2" t="str">
        <x:f>'Invoices'!B440</x:f>
        <x:v>C006</x:v>
      </x:c>
      <x:c r="C440" s="10" t="n">
        <x:f>'Invoices'!C440</x:f>
        <x:v>46107</x:v>
      </x:c>
      <x:c r="D440" s="10" t="n">
        <x:f>'Invoices'!D440</x:f>
        <x:v>46122</x:v>
      </x:c>
      <x:c r="E440" s="11" t="n">
        <x:f>'Invoices'!E440</x:f>
        <x:v>7584.58</x:v>
      </x:c>
      <x:c r="F440" s="11" t="n">
        <x:f>SUMIFS('Payments'!$E$5:$E$429,'Payments'!$B$5:$B$429,A440,'Payments'!$D$5:$D$429,"&lt;="&amp;'Start Here'!$B$5)</x:f>
        <x:v>7584.58</x:v>
      </x:c>
      <x:c r="G440" s="11" t="n">
        <x:f>ROUND(E440-F440,2)</x:f>
        <x:v>0</x:v>
      </x:c>
      <x:c r="H440" s="2" t="n">
        <x:f>IF(G440&gt;0,MAX(0,'Start Here'!$B$5-D440),0)</x:f>
        <x:v>0</x:v>
      </x:c>
      <x:c r="I440" s="2" t="str">
        <x:f>IF(G440=0,"Paid",IF(H440=0,"Current",IF(H440&lt;=30,"1-30",IF(H440&lt;=60,"31-60",IF(H440&lt;=90,"61-90","91+")))))</x:f>
        <x:v>Paid</x:v>
      </x:c>
      <x:c r="J440" s="2" t="n">
        <x:f>IF(G440=0,0,IF(H440=0,1,IF(H440&lt;=30,2,IF(H440&lt;=60,3,IF(H440&lt;=90,4,5)))))</x:f>
        <x:v>0</x:v>
      </x:c>
      <x:c r="K440" s="2" t="str">
        <x:f>'Invoices'!F440</x:f>
        <x:v>No</x:v>
      </x:c>
      <x:c r="L440" s="10" t="n">
        <x:f>'Start Here'!$B$5</x:f>
        <x:v>46295</x:v>
      </x:c>
    </x:row>
    <x:row r="441" ht="23" customHeight="1">
      <x:c r="A441" s="2" t="str">
        <x:f>'Invoices'!A441</x:f>
        <x:v>INV00437</x:v>
      </x:c>
      <x:c r="B441" s="2" t="str">
        <x:f>'Invoices'!B441</x:f>
        <x:v>C033</x:v>
      </x:c>
      <x:c r="C441" s="10" t="n">
        <x:f>'Invoices'!C441</x:f>
        <x:v>46251</x:v>
      </x:c>
      <x:c r="D441" s="10" t="n">
        <x:f>'Invoices'!D441</x:f>
        <x:v>46266</x:v>
      </x:c>
      <x:c r="E441" s="11" t="n">
        <x:f>'Invoices'!E441</x:f>
        <x:v>12868.13</x:v>
      </x:c>
      <x:c r="F441" s="11" t="n">
        <x:f>SUMIFS('Payments'!$E$5:$E$429,'Payments'!$B$5:$B$429,A441,'Payments'!$D$5:$D$429,"&lt;="&amp;'Start Here'!$B$5)</x:f>
        <x:v>12868.13</x:v>
      </x:c>
      <x:c r="G441" s="11" t="n">
        <x:f>ROUND(E441-F441,2)</x:f>
        <x:v>0</x:v>
      </x:c>
      <x:c r="H441" s="2" t="n">
        <x:f>IF(G441&gt;0,MAX(0,'Start Here'!$B$5-D441),0)</x:f>
        <x:v>0</x:v>
      </x:c>
      <x:c r="I441" s="2" t="str">
        <x:f>IF(G441=0,"Paid",IF(H441=0,"Current",IF(H441&lt;=30,"1-30",IF(H441&lt;=60,"31-60",IF(H441&lt;=90,"61-90","91+")))))</x:f>
        <x:v>Paid</x:v>
      </x:c>
      <x:c r="J441" s="2" t="n">
        <x:f>IF(G441=0,0,IF(H441=0,1,IF(H441&lt;=30,2,IF(H441&lt;=60,3,IF(H441&lt;=90,4,5)))))</x:f>
        <x:v>0</x:v>
      </x:c>
      <x:c r="K441" s="2" t="str">
        <x:f>'Invoices'!F441</x:f>
        <x:v>No</x:v>
      </x:c>
      <x:c r="L441" s="10" t="n">
        <x:f>'Start Here'!$B$5</x:f>
        <x:v>46295</x:v>
      </x:c>
    </x:row>
    <x:row r="442" ht="23" customHeight="1">
      <x:c r="A442" s="2" t="str">
        <x:f>'Invoices'!A442</x:f>
        <x:v>INV00438</x:v>
      </x:c>
      <x:c r="B442" s="2" t="str">
        <x:f>'Invoices'!B442</x:f>
        <x:v>C028</x:v>
      </x:c>
      <x:c r="C442" s="10" t="n">
        <x:f>'Invoices'!C442</x:f>
        <x:v>46028</x:v>
      </x:c>
      <x:c r="D442" s="10" t="n">
        <x:f>'Invoices'!D442</x:f>
        <x:v>46073</x:v>
      </x:c>
      <x:c r="E442" s="11" t="n">
        <x:f>'Invoices'!E442</x:f>
        <x:v>2191.91</x:v>
      </x:c>
      <x:c r="F442" s="11" t="n">
        <x:f>SUMIFS('Payments'!$E$5:$E$429,'Payments'!$B$5:$B$429,A442,'Payments'!$D$5:$D$429,"&lt;="&amp;'Start Here'!$B$5)</x:f>
        <x:v>2191.91</x:v>
      </x:c>
      <x:c r="G442" s="11" t="n">
        <x:f>ROUND(E442-F442,2)</x:f>
        <x:v>0</x:v>
      </x:c>
      <x:c r="H442" s="2" t="n">
        <x:f>IF(G442&gt;0,MAX(0,'Start Here'!$B$5-D442),0)</x:f>
        <x:v>0</x:v>
      </x:c>
      <x:c r="I442" s="2" t="str">
        <x:f>IF(G442=0,"Paid",IF(H442=0,"Current",IF(H442&lt;=30,"1-30",IF(H442&lt;=60,"31-60",IF(H442&lt;=90,"61-90","91+")))))</x:f>
        <x:v>Paid</x:v>
      </x:c>
      <x:c r="J442" s="2" t="n">
        <x:f>IF(G442=0,0,IF(H442=0,1,IF(H442&lt;=30,2,IF(H442&lt;=60,3,IF(H442&lt;=90,4,5)))))</x:f>
        <x:v>0</x:v>
      </x:c>
      <x:c r="K442" s="2" t="str">
        <x:f>'Invoices'!F442</x:f>
        <x:v>No</x:v>
      </x:c>
      <x:c r="L442" s="10" t="n">
        <x:f>'Start Here'!$B$5</x:f>
        <x:v>46295</x:v>
      </x:c>
    </x:row>
    <x:row r="443" ht="23" customHeight="1">
      <x:c r="A443" s="2" t="str">
        <x:f>'Invoices'!A443</x:f>
        <x:v>INV00439</x:v>
      </x:c>
      <x:c r="B443" s="2" t="str">
        <x:f>'Invoices'!B443</x:f>
        <x:v>C035</x:v>
      </x:c>
      <x:c r="C443" s="10" t="n">
        <x:f>'Invoices'!C443</x:f>
        <x:v>46132</x:v>
      </x:c>
      <x:c r="D443" s="10" t="n">
        <x:f>'Invoices'!D443</x:f>
        <x:v>46162</x:v>
      </x:c>
      <x:c r="E443" s="11" t="n">
        <x:f>'Invoices'!E443</x:f>
        <x:v>1804.61</x:v>
      </x:c>
      <x:c r="F443" s="11" t="n">
        <x:f>SUMIFS('Payments'!$E$5:$E$429,'Payments'!$B$5:$B$429,A443,'Payments'!$D$5:$D$429,"&lt;="&amp;'Start Here'!$B$5)</x:f>
        <x:v>1804.61</x:v>
      </x:c>
      <x:c r="G443" s="11" t="n">
        <x:f>ROUND(E443-F443,2)</x:f>
        <x:v>0</x:v>
      </x:c>
      <x:c r="H443" s="2" t="n">
        <x:f>IF(G443&gt;0,MAX(0,'Start Here'!$B$5-D443),0)</x:f>
        <x:v>0</x:v>
      </x:c>
      <x:c r="I443" s="2" t="str">
        <x:f>IF(G443=0,"Paid",IF(H443=0,"Current",IF(H443&lt;=30,"1-30",IF(H443&lt;=60,"31-60",IF(H443&lt;=90,"61-90","91+")))))</x:f>
        <x:v>Paid</x:v>
      </x:c>
      <x:c r="J443" s="2" t="n">
        <x:f>IF(G443=0,0,IF(H443=0,1,IF(H443&lt;=30,2,IF(H443&lt;=60,3,IF(H443&lt;=90,4,5)))))</x:f>
        <x:v>0</x:v>
      </x:c>
      <x:c r="K443" s="2" t="str">
        <x:f>'Invoices'!F443</x:f>
        <x:v>No</x:v>
      </x:c>
      <x:c r="L443" s="10" t="n">
        <x:f>'Start Here'!$B$5</x:f>
        <x:v>46295</x:v>
      </x:c>
    </x:row>
    <x:row r="444" ht="23" customHeight="1">
      <x:c r="A444" s="2" t="str">
        <x:f>'Invoices'!A444</x:f>
        <x:v>INV00440</x:v>
      </x:c>
      <x:c r="B444" s="2" t="str">
        <x:f>'Invoices'!B444</x:f>
        <x:v>C012</x:v>
      </x:c>
      <x:c r="C444" s="10" t="n">
        <x:f>'Invoices'!C444</x:f>
        <x:v>46182</x:v>
      </x:c>
      <x:c r="D444" s="10" t="n">
        <x:f>'Invoices'!D444</x:f>
        <x:v>46227</x:v>
      </x:c>
      <x:c r="E444" s="11" t="n">
        <x:f>'Invoices'!E444</x:f>
        <x:v>6272.42</x:v>
      </x:c>
      <x:c r="F444" s="11" t="n">
        <x:f>SUMIFS('Payments'!$E$5:$E$429,'Payments'!$B$5:$B$429,A444,'Payments'!$D$5:$D$429,"&lt;="&amp;'Start Here'!$B$5)</x:f>
        <x:v>0</x:v>
      </x:c>
      <x:c r="G444" s="11" t="n">
        <x:f>ROUND(E444-F444,2)</x:f>
        <x:v>6272.42</x:v>
      </x:c>
      <x:c r="H444" s="2" t="n">
        <x:f>IF(G444&gt;0,MAX(0,'Start Here'!$B$5-D444),0)</x:f>
        <x:v>68</x:v>
      </x:c>
      <x:c r="I444" s="2" t="str">
        <x:f>IF(G444=0,"Paid",IF(H444=0,"Current",IF(H444&lt;=30,"1-30",IF(H444&lt;=60,"31-60",IF(H444&lt;=90,"61-90","91+")))))</x:f>
        <x:v>61-90</x:v>
      </x:c>
      <x:c r="J444" s="2" t="n">
        <x:f>IF(G444=0,0,IF(H444=0,1,IF(H444&lt;=30,2,IF(H444&lt;=60,3,IF(H444&lt;=90,4,5)))))</x:f>
        <x:v>4</x:v>
      </x:c>
      <x:c r="K444" s="2" t="str">
        <x:f>'Invoices'!F444</x:f>
        <x:v>Yes</x:v>
      </x:c>
      <x:c r="L444" s="10" t="n">
        <x:f>'Start Here'!$B$5</x:f>
        <x:v>46295</x:v>
      </x:c>
    </x:row>
    <x:row r="445" ht="23" customHeight="1">
      <x:c r="A445" s="2" t="str">
        <x:f>'Invoices'!A445</x:f>
        <x:v>INV00441</x:v>
      </x:c>
      <x:c r="B445" s="2" t="str">
        <x:f>'Invoices'!B445</x:f>
        <x:v>C034</x:v>
      </x:c>
      <x:c r="C445" s="10" t="n">
        <x:f>'Invoices'!C445</x:f>
        <x:v>46122</x:v>
      </x:c>
      <x:c r="D445" s="10" t="n">
        <x:f>'Invoices'!D445</x:f>
        <x:v>46152</x:v>
      </x:c>
      <x:c r="E445" s="11" t="n">
        <x:f>'Invoices'!E445</x:f>
        <x:v>5961.82</x:v>
      </x:c>
      <x:c r="F445" s="11" t="n">
        <x:f>SUMIFS('Payments'!$E$5:$E$429,'Payments'!$B$5:$B$429,A445,'Payments'!$D$5:$D$429,"&lt;="&amp;'Start Here'!$B$5)</x:f>
        <x:v>5961.82</x:v>
      </x:c>
      <x:c r="G445" s="11" t="n">
        <x:f>ROUND(E445-F445,2)</x:f>
        <x:v>0</x:v>
      </x:c>
      <x:c r="H445" s="2" t="n">
        <x:f>IF(G445&gt;0,MAX(0,'Start Here'!$B$5-D445),0)</x:f>
        <x:v>0</x:v>
      </x:c>
      <x:c r="I445" s="2" t="str">
        <x:f>IF(G445=0,"Paid",IF(H445=0,"Current",IF(H445&lt;=30,"1-30",IF(H445&lt;=60,"31-60",IF(H445&lt;=90,"61-90","91+")))))</x:f>
        <x:v>Paid</x:v>
      </x:c>
      <x:c r="J445" s="2" t="n">
        <x:f>IF(G445=0,0,IF(H445=0,1,IF(H445&lt;=30,2,IF(H445&lt;=60,3,IF(H445&lt;=90,4,5)))))</x:f>
        <x:v>0</x:v>
      </x:c>
      <x:c r="K445" s="2" t="str">
        <x:f>'Invoices'!F445</x:f>
        <x:v>No</x:v>
      </x:c>
      <x:c r="L445" s="10" t="n">
        <x:f>'Start Here'!$B$5</x:f>
        <x:v>46295</x:v>
      </x:c>
    </x:row>
    <x:row r="446" ht="23" customHeight="1">
      <x:c r="A446" s="2" t="str">
        <x:f>'Invoices'!A446</x:f>
        <x:v>INV00442</x:v>
      </x:c>
      <x:c r="B446" s="2" t="str">
        <x:f>'Invoices'!B446</x:f>
        <x:v>C032</x:v>
      </x:c>
      <x:c r="C446" s="10" t="n">
        <x:f>'Invoices'!C446</x:f>
        <x:v>46116</x:v>
      </x:c>
      <x:c r="D446" s="10" t="n">
        <x:f>'Invoices'!D446</x:f>
        <x:v>46176</x:v>
      </x:c>
      <x:c r="E446" s="11" t="n">
        <x:f>'Invoices'!E446</x:f>
        <x:v>11654.03</x:v>
      </x:c>
      <x:c r="F446" s="11" t="n">
        <x:f>SUMIFS('Payments'!$E$5:$E$429,'Payments'!$B$5:$B$429,A446,'Payments'!$D$5:$D$429,"&lt;="&amp;'Start Here'!$B$5)</x:f>
        <x:v>11654.03</x:v>
      </x:c>
      <x:c r="G446" s="11" t="n">
        <x:f>ROUND(E446-F446,2)</x:f>
        <x:v>0</x:v>
      </x:c>
      <x:c r="H446" s="2" t="n">
        <x:f>IF(G446&gt;0,MAX(0,'Start Here'!$B$5-D446),0)</x:f>
        <x:v>0</x:v>
      </x:c>
      <x:c r="I446" s="2" t="str">
        <x:f>IF(G446=0,"Paid",IF(H446=0,"Current",IF(H446&lt;=30,"1-30",IF(H446&lt;=60,"31-60",IF(H446&lt;=90,"61-90","91+")))))</x:f>
        <x:v>Paid</x:v>
      </x:c>
      <x:c r="J446" s="2" t="n">
        <x:f>IF(G446=0,0,IF(H446=0,1,IF(H446&lt;=30,2,IF(H446&lt;=60,3,IF(H446&lt;=90,4,5)))))</x:f>
        <x:v>0</x:v>
      </x:c>
      <x:c r="K446" s="2" t="str">
        <x:f>'Invoices'!F446</x:f>
        <x:v>No</x:v>
      </x:c>
      <x:c r="L446" s="10" t="n">
        <x:f>'Start Here'!$B$5</x:f>
        <x:v>46295</x:v>
      </x:c>
    </x:row>
    <x:row r="447" ht="23" customHeight="1">
      <x:c r="A447" s="2" t="str">
        <x:f>'Invoices'!A447</x:f>
        <x:v>INV00443</x:v>
      </x:c>
      <x:c r="B447" s="2" t="str">
        <x:f>'Invoices'!B447</x:f>
        <x:v>C024</x:v>
      </x:c>
      <x:c r="C447" s="10" t="n">
        <x:f>'Invoices'!C447</x:f>
        <x:v>46273</x:v>
      </x:c>
      <x:c r="D447" s="10" t="n">
        <x:f>'Invoices'!D447</x:f>
        <x:v>46303</x:v>
      </x:c>
      <x:c r="E447" s="11" t="n">
        <x:f>'Invoices'!E447</x:f>
        <x:v>14892.77</x:v>
      </x:c>
      <x:c r="F447" s="11" t="n">
        <x:f>SUMIFS('Payments'!$E$5:$E$429,'Payments'!$B$5:$B$429,A447,'Payments'!$D$5:$D$429,"&lt;="&amp;'Start Here'!$B$5)</x:f>
        <x:v>0</x:v>
      </x:c>
      <x:c r="G447" s="11" t="n">
        <x:f>ROUND(E447-F447,2)</x:f>
        <x:v>14892.77</x:v>
      </x:c>
      <x:c r="H447" s="2" t="n">
        <x:f>IF(G447&gt;0,MAX(0,'Start Here'!$B$5-D447),0)</x:f>
        <x:v>0</x:v>
      </x:c>
      <x:c r="I447" s="2" t="str">
        <x:f>IF(G447=0,"Paid",IF(H447=0,"Current",IF(H447&lt;=30,"1-30",IF(H447&lt;=60,"31-60",IF(H447&lt;=90,"61-90","91+")))))</x:f>
        <x:v>Current</x:v>
      </x:c>
      <x:c r="J447" s="2" t="n">
        <x:f>IF(G447=0,0,IF(H447=0,1,IF(H447&lt;=30,2,IF(H447&lt;=60,3,IF(H447&lt;=90,4,5)))))</x:f>
        <x:v>1</x:v>
      </x:c>
      <x:c r="K447" s="2" t="str">
        <x:f>'Invoices'!F447</x:f>
        <x:v>Yes</x:v>
      </x:c>
      <x:c r="L447" s="10" t="n">
        <x:f>'Start Here'!$B$5</x:f>
        <x:v>46295</x:v>
      </x:c>
    </x:row>
    <x:row r="448" ht="23" customHeight="1">
      <x:c r="A448" s="2" t="str">
        <x:f>'Invoices'!A448</x:f>
        <x:v>INV00444</x:v>
      </x:c>
      <x:c r="B448" s="2" t="str">
        <x:f>'Invoices'!B448</x:f>
        <x:v>C018</x:v>
      </x:c>
      <x:c r="C448" s="10" t="n">
        <x:f>'Invoices'!C448</x:f>
        <x:v>46188</x:v>
      </x:c>
      <x:c r="D448" s="10" t="n">
        <x:f>'Invoices'!D448</x:f>
        <x:v>46203</x:v>
      </x:c>
      <x:c r="E448" s="11" t="n">
        <x:f>'Invoices'!E448</x:f>
        <x:v>18096.36</x:v>
      </x:c>
      <x:c r="F448" s="11" t="n">
        <x:f>SUMIFS('Payments'!$E$5:$E$429,'Payments'!$B$5:$B$429,A448,'Payments'!$D$5:$D$429,"&lt;="&amp;'Start Here'!$B$5)</x:f>
        <x:v>18096.36</x:v>
      </x:c>
      <x:c r="G448" s="11" t="n">
        <x:f>ROUND(E448-F448,2)</x:f>
        <x:v>0</x:v>
      </x:c>
      <x:c r="H448" s="2" t="n">
        <x:f>IF(G448&gt;0,MAX(0,'Start Here'!$B$5-D448),0)</x:f>
        <x:v>0</x:v>
      </x:c>
      <x:c r="I448" s="2" t="str">
        <x:f>IF(G448=0,"Paid",IF(H448=0,"Current",IF(H448&lt;=30,"1-30",IF(H448&lt;=60,"31-60",IF(H448&lt;=90,"61-90","91+")))))</x:f>
        <x:v>Paid</x:v>
      </x:c>
      <x:c r="J448" s="2" t="n">
        <x:f>IF(G448=0,0,IF(H448=0,1,IF(H448&lt;=30,2,IF(H448&lt;=60,3,IF(H448&lt;=90,4,5)))))</x:f>
        <x:v>0</x:v>
      </x:c>
      <x:c r="K448" s="2" t="str">
        <x:f>'Invoices'!F448</x:f>
        <x:v>No</x:v>
      </x:c>
      <x:c r="L448" s="10" t="n">
        <x:f>'Start Here'!$B$5</x:f>
        <x:v>46295</x:v>
      </x:c>
    </x:row>
    <x:row r="449" ht="23" customHeight="1">
      <x:c r="A449" s="2" t="str">
        <x:f>'Invoices'!A449</x:f>
        <x:v>INV00445</x:v>
      </x:c>
      <x:c r="B449" s="2" t="str">
        <x:f>'Invoices'!B449</x:f>
        <x:v>C021</x:v>
      </x:c>
      <x:c r="C449" s="10" t="n">
        <x:f>'Invoices'!C449</x:f>
        <x:v>46054</x:v>
      </x:c>
      <x:c r="D449" s="10" t="n">
        <x:f>'Invoices'!D449</x:f>
        <x:v>46099</x:v>
      </x:c>
      <x:c r="E449" s="11" t="n">
        <x:f>'Invoices'!E449</x:f>
        <x:v>6447.99</x:v>
      </x:c>
      <x:c r="F449" s="11" t="n">
        <x:f>SUMIFS('Payments'!$E$5:$E$429,'Payments'!$B$5:$B$429,A449,'Payments'!$D$5:$D$429,"&lt;="&amp;'Start Here'!$B$5)</x:f>
        <x:v>0</x:v>
      </x:c>
      <x:c r="G449" s="11" t="n">
        <x:f>ROUND(E449-F449,2)</x:f>
        <x:v>6447.99</x:v>
      </x:c>
      <x:c r="H449" s="2" t="n">
        <x:f>IF(G449&gt;0,MAX(0,'Start Here'!$B$5-D449),0)</x:f>
        <x:v>196</x:v>
      </x:c>
      <x:c r="I449" s="2" t="str">
        <x:f>IF(G449=0,"Paid",IF(H449=0,"Current",IF(H449&lt;=30,"1-30",IF(H449&lt;=60,"31-60",IF(H449&lt;=90,"61-90","91+")))))</x:f>
        <x:v>91+</x:v>
      </x:c>
      <x:c r="J449" s="2" t="n">
        <x:f>IF(G449=0,0,IF(H449=0,1,IF(H449&lt;=30,2,IF(H449&lt;=60,3,IF(H449&lt;=90,4,5)))))</x:f>
        <x:v>5</x:v>
      </x:c>
      <x:c r="K449" s="2" t="str">
        <x:f>'Invoices'!F449</x:f>
        <x:v>No</x:v>
      </x:c>
      <x:c r="L449" s="10" t="n">
        <x:f>'Start Here'!$B$5</x:f>
        <x:v>46295</x:v>
      </x:c>
    </x:row>
    <x:row r="450" ht="23" customHeight="1">
      <x:c r="A450" s="2" t="str">
        <x:f>'Invoices'!A450</x:f>
        <x:v>INV00446</x:v>
      </x:c>
      <x:c r="B450" s="2" t="str">
        <x:f>'Invoices'!B450</x:f>
        <x:v>C020</x:v>
      </x:c>
      <x:c r="C450" s="10" t="n">
        <x:f>'Invoices'!C450</x:f>
        <x:v>46197</x:v>
      </x:c>
      <x:c r="D450" s="10" t="n">
        <x:f>'Invoices'!D450</x:f>
        <x:v>46227</x:v>
      </x:c>
      <x:c r="E450" s="11" t="n">
        <x:f>'Invoices'!E450</x:f>
        <x:v>19704.26</x:v>
      </x:c>
      <x:c r="F450" s="11" t="n">
        <x:f>SUMIFS('Payments'!$E$5:$E$429,'Payments'!$B$5:$B$429,A450,'Payments'!$D$5:$D$429,"&lt;="&amp;'Start Here'!$B$5)</x:f>
        <x:v>6896.49</x:v>
      </x:c>
      <x:c r="G450" s="11" t="n">
        <x:f>ROUND(E450-F450,2)</x:f>
        <x:v>12807.77</x:v>
      </x:c>
      <x:c r="H450" s="2" t="n">
        <x:f>IF(G450&gt;0,MAX(0,'Start Here'!$B$5-D450),0)</x:f>
        <x:v>68</x:v>
      </x:c>
      <x:c r="I450" s="2" t="str">
        <x:f>IF(G450=0,"Paid",IF(H450=0,"Current",IF(H450&lt;=30,"1-30",IF(H450&lt;=60,"31-60",IF(H450&lt;=90,"61-90","91+")))))</x:f>
        <x:v>61-90</x:v>
      </x:c>
      <x:c r="J450" s="2" t="n">
        <x:f>IF(G450=0,0,IF(H450=0,1,IF(H450&lt;=30,2,IF(H450&lt;=60,3,IF(H450&lt;=90,4,5)))))</x:f>
        <x:v>4</x:v>
      </x:c>
      <x:c r="K450" s="2" t="str">
        <x:f>'Invoices'!F450</x:f>
        <x:v>Yes</x:v>
      </x:c>
      <x:c r="L450" s="10" t="n">
        <x:f>'Start Here'!$B$5</x:f>
        <x:v>46295</x:v>
      </x:c>
    </x:row>
    <x:row r="451" ht="23" customHeight="1">
      <x:c r="A451" s="2" t="str">
        <x:f>'Invoices'!A451</x:f>
        <x:v>INV00447</x:v>
      </x:c>
      <x:c r="B451" s="2" t="str">
        <x:f>'Invoices'!B451</x:f>
        <x:v>C004</x:v>
      </x:c>
      <x:c r="C451" s="10" t="n">
        <x:f>'Invoices'!C451</x:f>
        <x:v>46045</x:v>
      </x:c>
      <x:c r="D451" s="10" t="n">
        <x:f>'Invoices'!D451</x:f>
        <x:v>46090</x:v>
      </x:c>
      <x:c r="E451" s="11" t="n">
        <x:f>'Invoices'!E451</x:f>
        <x:v>12361.53</x:v>
      </x:c>
      <x:c r="F451" s="11" t="n">
        <x:f>SUMIFS('Payments'!$E$5:$E$429,'Payments'!$B$5:$B$429,A451,'Payments'!$D$5:$D$429,"&lt;="&amp;'Start Here'!$B$5)</x:f>
        <x:v>12361.53</x:v>
      </x:c>
      <x:c r="G451" s="11" t="n">
        <x:f>ROUND(E451-F451,2)</x:f>
        <x:v>0</x:v>
      </x:c>
      <x:c r="H451" s="2" t="n">
        <x:f>IF(G451&gt;0,MAX(0,'Start Here'!$B$5-D451),0)</x:f>
        <x:v>0</x:v>
      </x:c>
      <x:c r="I451" s="2" t="str">
        <x:f>IF(G451=0,"Paid",IF(H451=0,"Current",IF(H451&lt;=30,"1-30",IF(H451&lt;=60,"31-60",IF(H451&lt;=90,"61-90","91+")))))</x:f>
        <x:v>Paid</x:v>
      </x:c>
      <x:c r="J451" s="2" t="n">
        <x:f>IF(G451=0,0,IF(H451=0,1,IF(H451&lt;=30,2,IF(H451&lt;=60,3,IF(H451&lt;=90,4,5)))))</x:f>
        <x:v>0</x:v>
      </x:c>
      <x:c r="K451" s="2" t="str">
        <x:f>'Invoices'!F451</x:f>
        <x:v>No</x:v>
      </x:c>
      <x:c r="L451" s="10" t="n">
        <x:f>'Start Here'!$B$5</x:f>
        <x:v>46295</x:v>
      </x:c>
    </x:row>
    <x:row r="452" ht="23" customHeight="1">
      <x:c r="A452" s="2" t="str">
        <x:f>'Invoices'!A452</x:f>
        <x:v>INV00448</x:v>
      </x:c>
      <x:c r="B452" s="2" t="str">
        <x:f>'Invoices'!B452</x:f>
        <x:v>C032</x:v>
      </x:c>
      <x:c r="C452" s="10" t="n">
        <x:f>'Invoices'!C452</x:f>
        <x:v>46233</x:v>
      </x:c>
      <x:c r="D452" s="10" t="n">
        <x:f>'Invoices'!D452</x:f>
        <x:v>46293</x:v>
      </x:c>
      <x:c r="E452" s="11" t="n">
        <x:f>'Invoices'!E452</x:f>
        <x:v>5440.05</x:v>
      </x:c>
      <x:c r="F452" s="11" t="n">
        <x:f>SUMIFS('Payments'!$E$5:$E$429,'Payments'!$B$5:$B$429,A452,'Payments'!$D$5:$D$429,"&lt;="&amp;'Start Here'!$B$5)</x:f>
        <x:v>2720.03</x:v>
      </x:c>
      <x:c r="G452" s="11" t="n">
        <x:f>ROUND(E452-F452,2)</x:f>
        <x:v>2720.02</x:v>
      </x:c>
      <x:c r="H452" s="2" t="n">
        <x:f>IF(G452&gt;0,MAX(0,'Start Here'!$B$5-D452),0)</x:f>
        <x:v>2</x:v>
      </x:c>
      <x:c r="I452" s="2" t="str">
        <x:f>IF(G452=0,"Paid",IF(H452=0,"Current",IF(H452&lt;=30,"1-30",IF(H452&lt;=60,"31-60",IF(H452&lt;=90,"61-90","91+")))))</x:f>
        <x:v>1-30</x:v>
      </x:c>
      <x:c r="J452" s="2" t="n">
        <x:f>IF(G452=0,0,IF(H452=0,1,IF(H452&lt;=30,2,IF(H452&lt;=60,3,IF(H452&lt;=90,4,5)))))</x:f>
        <x:v>2</x:v>
      </x:c>
      <x:c r="K452" s="2" t="str">
        <x:f>'Invoices'!F452</x:f>
        <x:v>No</x:v>
      </x:c>
      <x:c r="L452" s="10" t="n">
        <x:f>'Start Here'!$B$5</x:f>
        <x:v>46295</x:v>
      </x:c>
    </x:row>
    <x:row r="453" ht="23" customHeight="1">
      <x:c r="A453" s="2" t="str">
        <x:f>'Invoices'!A453</x:f>
        <x:v>INV00449</x:v>
      </x:c>
      <x:c r="B453" s="2" t="str">
        <x:f>'Invoices'!B453</x:f>
        <x:v>C004</x:v>
      </x:c>
      <x:c r="C453" s="10" t="n">
        <x:f>'Invoices'!C453</x:f>
        <x:v>46205</x:v>
      </x:c>
      <x:c r="D453" s="10" t="n">
        <x:f>'Invoices'!D453</x:f>
        <x:v>46235</x:v>
      </x:c>
      <x:c r="E453" s="11" t="n">
        <x:f>'Invoices'!E453</x:f>
        <x:v>1136.21</x:v>
      </x:c>
      <x:c r="F453" s="11" t="n">
        <x:f>SUMIFS('Payments'!$E$5:$E$429,'Payments'!$B$5:$B$429,A453,'Payments'!$D$5:$D$429,"&lt;="&amp;'Start Here'!$B$5)</x:f>
        <x:v>0</x:v>
      </x:c>
      <x:c r="G453" s="11" t="n">
        <x:f>ROUND(E453-F453,2)</x:f>
        <x:v>1136.21</x:v>
      </x:c>
      <x:c r="H453" s="2" t="n">
        <x:f>IF(G453&gt;0,MAX(0,'Start Here'!$B$5-D453),0)</x:f>
        <x:v>60</x:v>
      </x:c>
      <x:c r="I453" s="2" t="str">
        <x:f>IF(G453=0,"Paid",IF(H453=0,"Current",IF(H453&lt;=30,"1-30",IF(H453&lt;=60,"31-60",IF(H453&lt;=90,"61-90","91+")))))</x:f>
        <x:v>31-60</x:v>
      </x:c>
      <x:c r="J453" s="2" t="n">
        <x:f>IF(G453=0,0,IF(H453=0,1,IF(H453&lt;=30,2,IF(H453&lt;=60,3,IF(H453&lt;=90,4,5)))))</x:f>
        <x:v>3</x:v>
      </x:c>
      <x:c r="K453" s="2" t="str">
        <x:f>'Invoices'!F453</x:f>
        <x:v>Yes</x:v>
      </x:c>
      <x:c r="L453" s="10" t="n">
        <x:f>'Start Here'!$B$5</x:f>
        <x:v>46295</x:v>
      </x:c>
    </x:row>
    <x:row r="454" ht="23" customHeight="1">
      <x:c r="A454" s="2" t="str">
        <x:f>'Invoices'!A454</x:f>
        <x:v>INV00450</x:v>
      </x:c>
      <x:c r="B454" s="2" t="str">
        <x:f>'Invoices'!B454</x:f>
        <x:v>C004</x:v>
      </x:c>
      <x:c r="C454" s="10" t="n">
        <x:f>'Invoices'!C454</x:f>
        <x:v>46039</x:v>
      </x:c>
      <x:c r="D454" s="10" t="n">
        <x:f>'Invoices'!D454</x:f>
        <x:v>46069</x:v>
      </x:c>
      <x:c r="E454" s="11" t="n">
        <x:f>'Invoices'!E454</x:f>
        <x:v>4887.65</x:v>
      </x:c>
      <x:c r="F454" s="11" t="n">
        <x:f>SUMIFS('Payments'!$E$5:$E$429,'Payments'!$B$5:$B$429,A454,'Payments'!$D$5:$D$429,"&lt;="&amp;'Start Here'!$B$5)</x:f>
        <x:v>0</x:v>
      </x:c>
      <x:c r="G454" s="11" t="n">
        <x:f>ROUND(E454-F454,2)</x:f>
        <x:v>4887.65</x:v>
      </x:c>
      <x:c r="H454" s="2" t="n">
        <x:f>IF(G454&gt;0,MAX(0,'Start Here'!$B$5-D454),0)</x:f>
        <x:v>226</x:v>
      </x:c>
      <x:c r="I454" s="2" t="str">
        <x:f>IF(G454=0,"Paid",IF(H454=0,"Current",IF(H454&lt;=30,"1-30",IF(H454&lt;=60,"31-60",IF(H454&lt;=90,"61-90","91+")))))</x:f>
        <x:v>91+</x:v>
      </x:c>
      <x:c r="J454" s="2" t="n">
        <x:f>IF(G454=0,0,IF(H454=0,1,IF(H454&lt;=30,2,IF(H454&lt;=60,3,IF(H454&lt;=90,4,5)))))</x:f>
        <x:v>5</x:v>
      </x:c>
      <x:c r="K454" s="2" t="str">
        <x:f>'Invoices'!F454</x:f>
        <x:v>No</x:v>
      </x:c>
      <x:c r="L454" s="10" t="n">
        <x:f>'Start Here'!$B$5</x:f>
        <x:v>46295</x:v>
      </x:c>
    </x:row>
    <x:row r="455" ht="23" customHeight="1">
      <x:c r="A455" s="2" t="str">
        <x:f>'Invoices'!A455</x:f>
        <x:v>INV00451</x:v>
      </x:c>
      <x:c r="B455" s="2" t="str">
        <x:f>'Invoices'!B455</x:f>
        <x:v>C038</x:v>
      </x:c>
      <x:c r="C455" s="10" t="n">
        <x:f>'Invoices'!C455</x:f>
        <x:v>46280</x:v>
      </x:c>
      <x:c r="D455" s="10" t="n">
        <x:f>'Invoices'!D455</x:f>
        <x:v>46310</x:v>
      </x:c>
      <x:c r="E455" s="11" t="n">
        <x:f>'Invoices'!E455</x:f>
        <x:v>5982.95</x:v>
      </x:c>
      <x:c r="F455" s="11" t="n">
        <x:f>SUMIFS('Payments'!$E$5:$E$429,'Payments'!$B$5:$B$429,A455,'Payments'!$D$5:$D$429,"&lt;="&amp;'Start Here'!$B$5)</x:f>
        <x:v>0</x:v>
      </x:c>
      <x:c r="G455" s="11" t="n">
        <x:f>ROUND(E455-F455,2)</x:f>
        <x:v>5982.95</x:v>
      </x:c>
      <x:c r="H455" s="2" t="n">
        <x:f>IF(G455&gt;0,MAX(0,'Start Here'!$B$5-D455),0)</x:f>
        <x:v>0</x:v>
      </x:c>
      <x:c r="I455" s="2" t="str">
        <x:f>IF(G455=0,"Paid",IF(H455=0,"Current",IF(H455&lt;=30,"1-30",IF(H455&lt;=60,"31-60",IF(H455&lt;=90,"61-90","91+")))))</x:f>
        <x:v>Current</x:v>
      </x:c>
      <x:c r="J455" s="2" t="n">
        <x:f>IF(G455=0,0,IF(H455=0,1,IF(H455&lt;=30,2,IF(H455&lt;=60,3,IF(H455&lt;=90,4,5)))))</x:f>
        <x:v>1</x:v>
      </x:c>
      <x:c r="K455" s="2" t="str">
        <x:f>'Invoices'!F455</x:f>
        <x:v>No</x:v>
      </x:c>
      <x:c r="L455" s="10" t="n">
        <x:f>'Start Here'!$B$5</x:f>
        <x:v>46295</x:v>
      </x:c>
    </x:row>
    <x:row r="456" ht="23" customHeight="1">
      <x:c r="A456" s="2" t="str">
        <x:f>'Invoices'!A456</x:f>
        <x:v>INV00452</x:v>
      </x:c>
      <x:c r="B456" s="2" t="str">
        <x:f>'Invoices'!B456</x:f>
        <x:v>C025</x:v>
      </x:c>
      <x:c r="C456" s="10" t="n">
        <x:f>'Invoices'!C456</x:f>
        <x:v>46057</x:v>
      </x:c>
      <x:c r="D456" s="10" t="n">
        <x:f>'Invoices'!D456</x:f>
        <x:v>46117</x:v>
      </x:c>
      <x:c r="E456" s="11" t="n">
        <x:f>'Invoices'!E456</x:f>
        <x:v>4023.46</x:v>
      </x:c>
      <x:c r="F456" s="11" t="n">
        <x:f>SUMIFS('Payments'!$E$5:$E$429,'Payments'!$B$5:$B$429,A456,'Payments'!$D$5:$D$429,"&lt;="&amp;'Start Here'!$B$5)</x:f>
        <x:v>4023.46</x:v>
      </x:c>
      <x:c r="G456" s="11" t="n">
        <x:f>ROUND(E456-F456,2)</x:f>
        <x:v>0</x:v>
      </x:c>
      <x:c r="H456" s="2" t="n">
        <x:f>IF(G456&gt;0,MAX(0,'Start Here'!$B$5-D456),0)</x:f>
        <x:v>0</x:v>
      </x:c>
      <x:c r="I456" s="2" t="str">
        <x:f>IF(G456=0,"Paid",IF(H456=0,"Current",IF(H456&lt;=30,"1-30",IF(H456&lt;=60,"31-60",IF(H456&lt;=90,"61-90","91+")))))</x:f>
        <x:v>Paid</x:v>
      </x:c>
      <x:c r="J456" s="2" t="n">
        <x:f>IF(G456=0,0,IF(H456=0,1,IF(H456&lt;=30,2,IF(H456&lt;=60,3,IF(H456&lt;=90,4,5)))))</x:f>
        <x:v>0</x:v>
      </x:c>
      <x:c r="K456" s="2" t="str">
        <x:f>'Invoices'!F456</x:f>
        <x:v>No</x:v>
      </x:c>
      <x:c r="L456" s="10" t="n">
        <x:f>'Start Here'!$B$5</x:f>
        <x:v>46295</x:v>
      </x:c>
    </x:row>
    <x:row r="457" ht="23" customHeight="1">
      <x:c r="A457" s="2" t="str">
        <x:f>'Invoices'!A457</x:f>
        <x:v>INV00453</x:v>
      </x:c>
      <x:c r="B457" s="2" t="str">
        <x:f>'Invoices'!B457</x:f>
        <x:v>C019</x:v>
      </x:c>
      <x:c r="C457" s="10" t="n">
        <x:f>'Invoices'!C457</x:f>
        <x:v>46274</x:v>
      </x:c>
      <x:c r="D457" s="10" t="n">
        <x:f>'Invoices'!D457</x:f>
        <x:v>46319</x:v>
      </x:c>
      <x:c r="E457" s="11" t="n">
        <x:f>'Invoices'!E457</x:f>
        <x:v>17060.72</x:v>
      </x:c>
      <x:c r="F457" s="11" t="n">
        <x:f>SUMIFS('Payments'!$E$5:$E$429,'Payments'!$B$5:$B$429,A457,'Payments'!$D$5:$D$429,"&lt;="&amp;'Start Here'!$B$5)</x:f>
        <x:v>0</x:v>
      </x:c>
      <x:c r="G457" s="11" t="n">
        <x:f>ROUND(E457-F457,2)</x:f>
        <x:v>17060.72</x:v>
      </x:c>
      <x:c r="H457" s="2" t="n">
        <x:f>IF(G457&gt;0,MAX(0,'Start Here'!$B$5-D457),0)</x:f>
        <x:v>0</x:v>
      </x:c>
      <x:c r="I457" s="2" t="str">
        <x:f>IF(G457=0,"Paid",IF(H457=0,"Current",IF(H457&lt;=30,"1-30",IF(H457&lt;=60,"31-60",IF(H457&lt;=90,"61-90","91+")))))</x:f>
        <x:v>Current</x:v>
      </x:c>
      <x:c r="J457" s="2" t="n">
        <x:f>IF(G457=0,0,IF(H457=0,1,IF(H457&lt;=30,2,IF(H457&lt;=60,3,IF(H457&lt;=90,4,5)))))</x:f>
        <x:v>1</x:v>
      </x:c>
      <x:c r="K457" s="2" t="str">
        <x:f>'Invoices'!F457</x:f>
        <x:v>No</x:v>
      </x:c>
      <x:c r="L457" s="10" t="n">
        <x:f>'Start Here'!$B$5</x:f>
        <x:v>46295</x:v>
      </x:c>
    </x:row>
    <x:row r="458" ht="23" customHeight="1">
      <x:c r="A458" s="2" t="str">
        <x:f>'Invoices'!A458</x:f>
        <x:v>INV00454</x:v>
      </x:c>
      <x:c r="B458" s="2" t="str">
        <x:f>'Invoices'!B458</x:f>
        <x:v>C003</x:v>
      </x:c>
      <x:c r="C458" s="10" t="n">
        <x:f>'Invoices'!C458</x:f>
        <x:v>46132</x:v>
      </x:c>
      <x:c r="D458" s="10" t="n">
        <x:f>'Invoices'!D458</x:f>
        <x:v>46162</x:v>
      </x:c>
      <x:c r="E458" s="11" t="n">
        <x:f>'Invoices'!E458</x:f>
        <x:v>1035.93</x:v>
      </x:c>
      <x:c r="F458" s="11" t="n">
        <x:f>SUMIFS('Payments'!$E$5:$E$429,'Payments'!$B$5:$B$429,A458,'Payments'!$D$5:$D$429,"&lt;="&amp;'Start Here'!$B$5)</x:f>
        <x:v>1035.93</x:v>
      </x:c>
      <x:c r="G458" s="11" t="n">
        <x:f>ROUND(E458-F458,2)</x:f>
        <x:v>0</x:v>
      </x:c>
      <x:c r="H458" s="2" t="n">
        <x:f>IF(G458&gt;0,MAX(0,'Start Here'!$B$5-D458),0)</x:f>
        <x:v>0</x:v>
      </x:c>
      <x:c r="I458" s="2" t="str">
        <x:f>IF(G458=0,"Paid",IF(H458=0,"Current",IF(H458&lt;=30,"1-30",IF(H458&lt;=60,"31-60",IF(H458&lt;=90,"61-90","91+")))))</x:f>
        <x:v>Paid</x:v>
      </x:c>
      <x:c r="J458" s="2" t="n">
        <x:f>IF(G458=0,0,IF(H458=0,1,IF(H458&lt;=30,2,IF(H458&lt;=60,3,IF(H458&lt;=90,4,5)))))</x:f>
        <x:v>0</x:v>
      </x:c>
      <x:c r="K458" s="2" t="str">
        <x:f>'Invoices'!F458</x:f>
        <x:v>No</x:v>
      </x:c>
      <x:c r="L458" s="10" t="n">
        <x:f>'Start Here'!$B$5</x:f>
        <x:v>46295</x:v>
      </x:c>
    </x:row>
    <x:row r="459" ht="23" customHeight="1">
      <x:c r="A459" s="2" t="str">
        <x:f>'Invoices'!A459</x:f>
        <x:v>INV00455</x:v>
      </x:c>
      <x:c r="B459" s="2" t="str">
        <x:f>'Invoices'!B459</x:f>
        <x:v>C029</x:v>
      </x:c>
      <x:c r="C459" s="10" t="n">
        <x:f>'Invoices'!C459</x:f>
        <x:v>46153</x:v>
      </x:c>
      <x:c r="D459" s="10" t="n">
        <x:f>'Invoices'!D459</x:f>
        <x:v>46183</x:v>
      </x:c>
      <x:c r="E459" s="11" t="n">
        <x:f>'Invoices'!E459</x:f>
        <x:v>11145.4</x:v>
      </x:c>
      <x:c r="F459" s="11" t="n">
        <x:f>SUMIFS('Payments'!$E$5:$E$429,'Payments'!$B$5:$B$429,A459,'Payments'!$D$5:$D$429,"&lt;="&amp;'Start Here'!$B$5)</x:f>
        <x:v>0</x:v>
      </x:c>
      <x:c r="G459" s="11" t="n">
        <x:f>ROUND(E459-F459,2)</x:f>
        <x:v>11145.4</x:v>
      </x:c>
      <x:c r="H459" s="2" t="n">
        <x:f>IF(G459&gt;0,MAX(0,'Start Here'!$B$5-D459),0)</x:f>
        <x:v>112</x:v>
      </x:c>
      <x:c r="I459" s="2" t="str">
        <x:f>IF(G459=0,"Paid",IF(H459=0,"Current",IF(H459&lt;=30,"1-30",IF(H459&lt;=60,"31-60",IF(H459&lt;=90,"61-90","91+")))))</x:f>
        <x:v>91+</x:v>
      </x:c>
      <x:c r="J459" s="2" t="n">
        <x:f>IF(G459=0,0,IF(H459=0,1,IF(H459&lt;=30,2,IF(H459&lt;=60,3,IF(H459&lt;=90,4,5)))))</x:f>
        <x:v>5</x:v>
      </x:c>
      <x:c r="K459" s="2" t="str">
        <x:f>'Invoices'!F459</x:f>
        <x:v>Yes</x:v>
      </x:c>
      <x:c r="L459" s="10" t="n">
        <x:f>'Start Here'!$B$5</x:f>
        <x:v>46295</x:v>
      </x:c>
    </x:row>
    <x:row r="460" ht="23" customHeight="1">
      <x:c r="A460" s="2" t="str">
        <x:f>'Invoices'!A460</x:f>
        <x:v>INV00456</x:v>
      </x:c>
      <x:c r="B460" s="2" t="str">
        <x:f>'Invoices'!B460</x:f>
        <x:v>C039</x:v>
      </x:c>
      <x:c r="C460" s="10" t="n">
        <x:f>'Invoices'!C460</x:f>
        <x:v>46179</x:v>
      </x:c>
      <x:c r="D460" s="10" t="n">
        <x:f>'Invoices'!D460</x:f>
        <x:v>46224</x:v>
      </x:c>
      <x:c r="E460" s="11" t="n">
        <x:f>'Invoices'!E460</x:f>
        <x:v>10949.15</x:v>
      </x:c>
      <x:c r="F460" s="11" t="n">
        <x:f>SUMIFS('Payments'!$E$5:$E$429,'Payments'!$B$5:$B$429,A460,'Payments'!$D$5:$D$429,"&lt;="&amp;'Start Here'!$B$5)</x:f>
        <x:v>10949.15</x:v>
      </x:c>
      <x:c r="G460" s="11" t="n">
        <x:f>ROUND(E460-F460,2)</x:f>
        <x:v>0</x:v>
      </x:c>
      <x:c r="H460" s="2" t="n">
        <x:f>IF(G460&gt;0,MAX(0,'Start Here'!$B$5-D460),0)</x:f>
        <x:v>0</x:v>
      </x:c>
      <x:c r="I460" s="2" t="str">
        <x:f>IF(G460=0,"Paid",IF(H460=0,"Current",IF(H460&lt;=30,"1-30",IF(H460&lt;=60,"31-60",IF(H460&lt;=90,"61-90","91+")))))</x:f>
        <x:v>Paid</x:v>
      </x:c>
      <x:c r="J460" s="2" t="n">
        <x:f>IF(G460=0,0,IF(H460=0,1,IF(H460&lt;=30,2,IF(H460&lt;=60,3,IF(H460&lt;=90,4,5)))))</x:f>
        <x:v>0</x:v>
      </x:c>
      <x:c r="K460" s="2" t="str">
        <x:f>'Invoices'!F460</x:f>
        <x:v>No</x:v>
      </x:c>
      <x:c r="L460" s="10" t="n">
        <x:f>'Start Here'!$B$5</x:f>
        <x:v>46295</x:v>
      </x:c>
    </x:row>
    <x:row r="461" ht="23" customHeight="1">
      <x:c r="A461" s="2" t="str">
        <x:f>'Invoices'!A461</x:f>
        <x:v>INV00457</x:v>
      </x:c>
      <x:c r="B461" s="2" t="str">
        <x:f>'Invoices'!B461</x:f>
        <x:v>C026</x:v>
      </x:c>
      <x:c r="C461" s="10" t="n">
        <x:f>'Invoices'!C461</x:f>
        <x:v>46055</x:v>
      </x:c>
      <x:c r="D461" s="10" t="n">
        <x:f>'Invoices'!D461</x:f>
        <x:v>46085</x:v>
      </x:c>
      <x:c r="E461" s="11" t="n">
        <x:f>'Invoices'!E461</x:f>
        <x:v>18214.27</x:v>
      </x:c>
      <x:c r="F461" s="11" t="n">
        <x:f>SUMIFS('Payments'!$E$5:$E$429,'Payments'!$B$5:$B$429,A461,'Payments'!$D$5:$D$429,"&lt;="&amp;'Start Here'!$B$5)</x:f>
        <x:v>18214.27</x:v>
      </x:c>
      <x:c r="G461" s="11" t="n">
        <x:f>ROUND(E461-F461,2)</x:f>
        <x:v>0</x:v>
      </x:c>
      <x:c r="H461" s="2" t="n">
        <x:f>IF(G461&gt;0,MAX(0,'Start Here'!$B$5-D461),0)</x:f>
        <x:v>0</x:v>
      </x:c>
      <x:c r="I461" s="2" t="str">
        <x:f>IF(G461=0,"Paid",IF(H461=0,"Current",IF(H461&lt;=30,"1-30",IF(H461&lt;=60,"31-60",IF(H461&lt;=90,"61-90","91+")))))</x:f>
        <x:v>Paid</x:v>
      </x:c>
      <x:c r="J461" s="2" t="n">
        <x:f>IF(G461=0,0,IF(H461=0,1,IF(H461&lt;=30,2,IF(H461&lt;=60,3,IF(H461&lt;=90,4,5)))))</x:f>
        <x:v>0</x:v>
      </x:c>
      <x:c r="K461" s="2" t="str">
        <x:f>'Invoices'!F461</x:f>
        <x:v>No</x:v>
      </x:c>
      <x:c r="L461" s="10" t="n">
        <x:f>'Start Here'!$B$5</x:f>
        <x:v>46295</x:v>
      </x:c>
    </x:row>
    <x:row r="462" ht="23" customHeight="1">
      <x:c r="A462" s="2" t="str">
        <x:f>'Invoices'!A462</x:f>
        <x:v>INV00458</x:v>
      </x:c>
      <x:c r="B462" s="2" t="str">
        <x:f>'Invoices'!B462</x:f>
        <x:v>C028</x:v>
      </x:c>
      <x:c r="C462" s="10" t="n">
        <x:f>'Invoices'!C462</x:f>
        <x:v>46090</x:v>
      </x:c>
      <x:c r="D462" s="10" t="n">
        <x:f>'Invoices'!D462</x:f>
        <x:v>46135</x:v>
      </x:c>
      <x:c r="E462" s="11" t="n">
        <x:f>'Invoices'!E462</x:f>
        <x:v>4539.18</x:v>
      </x:c>
      <x:c r="F462" s="11" t="n">
        <x:f>SUMIFS('Payments'!$E$5:$E$429,'Payments'!$B$5:$B$429,A462,'Payments'!$D$5:$D$429,"&lt;="&amp;'Start Here'!$B$5)</x:f>
        <x:v>4539.18</x:v>
      </x:c>
      <x:c r="G462" s="11" t="n">
        <x:f>ROUND(E462-F462,2)</x:f>
        <x:v>0</x:v>
      </x:c>
      <x:c r="H462" s="2" t="n">
        <x:f>IF(G462&gt;0,MAX(0,'Start Here'!$B$5-D462),0)</x:f>
        <x:v>0</x:v>
      </x:c>
      <x:c r="I462" s="2" t="str">
        <x:f>IF(G462=0,"Paid",IF(H462=0,"Current",IF(H462&lt;=30,"1-30",IF(H462&lt;=60,"31-60",IF(H462&lt;=90,"61-90","91+")))))</x:f>
        <x:v>Paid</x:v>
      </x:c>
      <x:c r="J462" s="2" t="n">
        <x:f>IF(G462=0,0,IF(H462=0,1,IF(H462&lt;=30,2,IF(H462&lt;=60,3,IF(H462&lt;=90,4,5)))))</x:f>
        <x:v>0</x:v>
      </x:c>
      <x:c r="K462" s="2" t="str">
        <x:f>'Invoices'!F462</x:f>
        <x:v>No</x:v>
      </x:c>
      <x:c r="L462" s="10" t="n">
        <x:f>'Start Here'!$B$5</x:f>
        <x:v>46295</x:v>
      </x:c>
    </x:row>
    <x:row r="463" ht="23" customHeight="1">
      <x:c r="A463" s="2" t="str">
        <x:f>'Invoices'!A463</x:f>
        <x:v>INV00459</x:v>
      </x:c>
      <x:c r="B463" s="2" t="str">
        <x:f>'Invoices'!B463</x:f>
        <x:v>C022</x:v>
      </x:c>
      <x:c r="C463" s="10" t="n">
        <x:f>'Invoices'!C463</x:f>
        <x:v>46085</x:v>
      </x:c>
      <x:c r="D463" s="10" t="n">
        <x:f>'Invoices'!D463</x:f>
        <x:v>46145</x:v>
      </x:c>
      <x:c r="E463" s="11" t="n">
        <x:f>'Invoices'!E463</x:f>
        <x:v>6169.63</x:v>
      </x:c>
      <x:c r="F463" s="11" t="n">
        <x:f>SUMIFS('Payments'!$E$5:$E$429,'Payments'!$B$5:$B$429,A463,'Payments'!$D$5:$D$429,"&lt;="&amp;'Start Here'!$B$5)</x:f>
        <x:v>6169.63</x:v>
      </x:c>
      <x:c r="G463" s="11" t="n">
        <x:f>ROUND(E463-F463,2)</x:f>
        <x:v>0</x:v>
      </x:c>
      <x:c r="H463" s="2" t="n">
        <x:f>IF(G463&gt;0,MAX(0,'Start Here'!$B$5-D463),0)</x:f>
        <x:v>0</x:v>
      </x:c>
      <x:c r="I463" s="2" t="str">
        <x:f>IF(G463=0,"Paid",IF(H463=0,"Current",IF(H463&lt;=30,"1-30",IF(H463&lt;=60,"31-60",IF(H463&lt;=90,"61-90","91+")))))</x:f>
        <x:v>Paid</x:v>
      </x:c>
      <x:c r="J463" s="2" t="n">
        <x:f>IF(G463=0,0,IF(H463=0,1,IF(H463&lt;=30,2,IF(H463&lt;=60,3,IF(H463&lt;=90,4,5)))))</x:f>
        <x:v>0</x:v>
      </x:c>
      <x:c r="K463" s="2" t="str">
        <x:f>'Invoices'!F463</x:f>
        <x:v>No</x:v>
      </x:c>
      <x:c r="L463" s="10" t="n">
        <x:f>'Start Here'!$B$5</x:f>
        <x:v>46295</x:v>
      </x:c>
    </x:row>
    <x:row r="464" ht="23" customHeight="1">
      <x:c r="A464" s="2" t="str">
        <x:f>'Invoices'!A464</x:f>
        <x:v>INV00460</x:v>
      </x:c>
      <x:c r="B464" s="2" t="str">
        <x:f>'Invoices'!B464</x:f>
        <x:v>C011</x:v>
      </x:c>
      <x:c r="C464" s="10" t="n">
        <x:f>'Invoices'!C464</x:f>
        <x:v>46211</x:v>
      </x:c>
      <x:c r="D464" s="10" t="n">
        <x:f>'Invoices'!D464</x:f>
        <x:v>46271</x:v>
      </x:c>
      <x:c r="E464" s="11" t="n">
        <x:f>'Invoices'!E464</x:f>
        <x:v>16403.91</x:v>
      </x:c>
      <x:c r="F464" s="11" t="n">
        <x:f>SUMIFS('Payments'!$E$5:$E$429,'Payments'!$B$5:$B$429,A464,'Payments'!$D$5:$D$429,"&lt;="&amp;'Start Here'!$B$5)</x:f>
        <x:v>4921.17</x:v>
      </x:c>
      <x:c r="G464" s="11" t="n">
        <x:f>ROUND(E464-F464,2)</x:f>
        <x:v>11482.74</x:v>
      </x:c>
      <x:c r="H464" s="2" t="n">
        <x:f>IF(G464&gt;0,MAX(0,'Start Here'!$B$5-D464),0)</x:f>
        <x:v>24</x:v>
      </x:c>
      <x:c r="I464" s="2" t="str">
        <x:f>IF(G464=0,"Paid",IF(H464=0,"Current",IF(H464&lt;=30,"1-30",IF(H464&lt;=60,"31-60",IF(H464&lt;=90,"61-90","91+")))))</x:f>
        <x:v>1-30</x:v>
      </x:c>
      <x:c r="J464" s="2" t="n">
        <x:f>IF(G464=0,0,IF(H464=0,1,IF(H464&lt;=30,2,IF(H464&lt;=60,3,IF(H464&lt;=90,4,5)))))</x:f>
        <x:v>2</x:v>
      </x:c>
      <x:c r="K464" s="2" t="str">
        <x:f>'Invoices'!F464</x:f>
        <x:v>No</x:v>
      </x:c>
      <x:c r="L464" s="10" t="n">
        <x:f>'Start Here'!$B$5</x:f>
        <x:v>46295</x:v>
      </x:c>
    </x:row>
    <x:row r="465" ht="23" customHeight="1">
      <x:c r="A465" s="2" t="str">
        <x:f>'Invoices'!A465</x:f>
        <x:v>INV00461</x:v>
      </x:c>
      <x:c r="B465" s="2" t="str">
        <x:f>'Invoices'!B465</x:f>
        <x:v>C022</x:v>
      </x:c>
      <x:c r="C465" s="10" t="n">
        <x:f>'Invoices'!C465</x:f>
        <x:v>46240</x:v>
      </x:c>
      <x:c r="D465" s="10" t="n">
        <x:f>'Invoices'!D465</x:f>
        <x:v>46300</x:v>
      </x:c>
      <x:c r="E465" s="11" t="n">
        <x:f>'Invoices'!E465</x:f>
        <x:v>18781.81</x:v>
      </x:c>
      <x:c r="F465" s="11" t="n">
        <x:f>SUMIFS('Payments'!$E$5:$E$429,'Payments'!$B$5:$B$429,A465,'Payments'!$D$5:$D$429,"&lt;="&amp;'Start Here'!$B$5)</x:f>
        <x:v>0</x:v>
      </x:c>
      <x:c r="G465" s="11" t="n">
        <x:f>ROUND(E465-F465,2)</x:f>
        <x:v>18781.81</x:v>
      </x:c>
      <x:c r="H465" s="2" t="n">
        <x:f>IF(G465&gt;0,MAX(0,'Start Here'!$B$5-D465),0)</x:f>
        <x:v>0</x:v>
      </x:c>
      <x:c r="I465" s="2" t="str">
        <x:f>IF(G465=0,"Paid",IF(H465=0,"Current",IF(H465&lt;=30,"1-30",IF(H465&lt;=60,"31-60",IF(H465&lt;=90,"61-90","91+")))))</x:f>
        <x:v>Current</x:v>
      </x:c>
      <x:c r="J465" s="2" t="n">
        <x:f>IF(G465=0,0,IF(H465=0,1,IF(H465&lt;=30,2,IF(H465&lt;=60,3,IF(H465&lt;=90,4,5)))))</x:f>
        <x:v>1</x:v>
      </x:c>
      <x:c r="K465" s="2" t="str">
        <x:f>'Invoices'!F465</x:f>
        <x:v>No</x:v>
      </x:c>
      <x:c r="L465" s="10" t="n">
        <x:f>'Start Here'!$B$5</x:f>
        <x:v>46295</x:v>
      </x:c>
    </x:row>
    <x:row r="466" ht="23" customHeight="1">
      <x:c r="A466" s="2" t="str">
        <x:f>'Invoices'!A466</x:f>
        <x:v>INV00462</x:v>
      </x:c>
      <x:c r="B466" s="2" t="str">
        <x:f>'Invoices'!B466</x:f>
        <x:v>C002</x:v>
      </x:c>
      <x:c r="C466" s="10" t="n">
        <x:f>'Invoices'!C466</x:f>
        <x:v>46170</x:v>
      </x:c>
      <x:c r="D466" s="10" t="n">
        <x:f>'Invoices'!D466</x:f>
        <x:v>46215</x:v>
      </x:c>
      <x:c r="E466" s="11" t="n">
        <x:f>'Invoices'!E466</x:f>
        <x:v>656.36</x:v>
      </x:c>
      <x:c r="F466" s="11" t="n">
        <x:f>SUMIFS('Payments'!$E$5:$E$429,'Payments'!$B$5:$B$429,A466,'Payments'!$D$5:$D$429,"&lt;="&amp;'Start Here'!$B$5)</x:f>
        <x:v>656.36</x:v>
      </x:c>
      <x:c r="G466" s="11" t="n">
        <x:f>ROUND(E466-F466,2)</x:f>
        <x:v>0</x:v>
      </x:c>
      <x:c r="H466" s="2" t="n">
        <x:f>IF(G466&gt;0,MAX(0,'Start Here'!$B$5-D466),0)</x:f>
        <x:v>0</x:v>
      </x:c>
      <x:c r="I466" s="2" t="str">
        <x:f>IF(G466=0,"Paid",IF(H466=0,"Current",IF(H466&lt;=30,"1-30",IF(H466&lt;=60,"31-60",IF(H466&lt;=90,"61-90","91+")))))</x:f>
        <x:v>Paid</x:v>
      </x:c>
      <x:c r="J466" s="2" t="n">
        <x:f>IF(G466=0,0,IF(H466=0,1,IF(H466&lt;=30,2,IF(H466&lt;=60,3,IF(H466&lt;=90,4,5)))))</x:f>
        <x:v>0</x:v>
      </x:c>
      <x:c r="K466" s="2" t="str">
        <x:f>'Invoices'!F466</x:f>
        <x:v>No</x:v>
      </x:c>
      <x:c r="L466" s="10" t="n">
        <x:f>'Start Here'!$B$5</x:f>
        <x:v>46295</x:v>
      </x:c>
    </x:row>
    <x:row r="467" ht="23" customHeight="1">
      <x:c r="A467" s="2" t="str">
        <x:f>'Invoices'!A467</x:f>
        <x:v>INV00463</x:v>
      </x:c>
      <x:c r="B467" s="2" t="str">
        <x:f>'Invoices'!B467</x:f>
        <x:v>C002</x:v>
      </x:c>
      <x:c r="C467" s="10" t="n">
        <x:f>'Invoices'!C467</x:f>
        <x:v>46267</x:v>
      </x:c>
      <x:c r="D467" s="10" t="n">
        <x:f>'Invoices'!D467</x:f>
        <x:v>46297</x:v>
      </x:c>
      <x:c r="E467" s="11" t="n">
        <x:f>'Invoices'!E467</x:f>
        <x:v>11212.24</x:v>
      </x:c>
      <x:c r="F467" s="11" t="n">
        <x:f>SUMIFS('Payments'!$E$5:$E$429,'Payments'!$B$5:$B$429,A467,'Payments'!$D$5:$D$429,"&lt;="&amp;'Start Here'!$B$5)</x:f>
        <x:v>0</x:v>
      </x:c>
      <x:c r="G467" s="11" t="n">
        <x:f>ROUND(E467-F467,2)</x:f>
        <x:v>11212.24</x:v>
      </x:c>
      <x:c r="H467" s="2" t="n">
        <x:f>IF(G467&gt;0,MAX(0,'Start Here'!$B$5-D467),0)</x:f>
        <x:v>0</x:v>
      </x:c>
      <x:c r="I467" s="2" t="str">
        <x:f>IF(G467=0,"Paid",IF(H467=0,"Current",IF(H467&lt;=30,"1-30",IF(H467&lt;=60,"31-60",IF(H467&lt;=90,"61-90","91+")))))</x:f>
        <x:v>Current</x:v>
      </x:c>
      <x:c r="J467" s="2" t="n">
        <x:f>IF(G467=0,0,IF(H467=0,1,IF(H467&lt;=30,2,IF(H467&lt;=60,3,IF(H467&lt;=90,4,5)))))</x:f>
        <x:v>1</x:v>
      </x:c>
      <x:c r="K467" s="2" t="str">
        <x:f>'Invoices'!F467</x:f>
        <x:v>No</x:v>
      </x:c>
      <x:c r="L467" s="10" t="n">
        <x:f>'Start Here'!$B$5</x:f>
        <x:v>46295</x:v>
      </x:c>
    </x:row>
    <x:row r="468" ht="23" customHeight="1">
      <x:c r="A468" s="2" t="str">
        <x:f>'Invoices'!A468</x:f>
        <x:v>INV00464</x:v>
      </x:c>
      <x:c r="B468" s="2" t="str">
        <x:f>'Invoices'!B468</x:f>
        <x:v>C022</x:v>
      </x:c>
      <x:c r="C468" s="10" t="n">
        <x:f>'Invoices'!C468</x:f>
        <x:v>46063</x:v>
      </x:c>
      <x:c r="D468" s="10" t="n">
        <x:f>'Invoices'!D468</x:f>
        <x:v>46078</x:v>
      </x:c>
      <x:c r="E468" s="11" t="n">
        <x:f>'Invoices'!E468</x:f>
        <x:v>11814.49</x:v>
      </x:c>
      <x:c r="F468" s="11" t="n">
        <x:f>SUMIFS('Payments'!$E$5:$E$429,'Payments'!$B$5:$B$429,A468,'Payments'!$D$5:$D$429,"&lt;="&amp;'Start Here'!$B$5)</x:f>
        <x:v>11814.49</x:v>
      </x:c>
      <x:c r="G468" s="11" t="n">
        <x:f>ROUND(E468-F468,2)</x:f>
        <x:v>0</x:v>
      </x:c>
      <x:c r="H468" s="2" t="n">
        <x:f>IF(G468&gt;0,MAX(0,'Start Here'!$B$5-D468),0)</x:f>
        <x:v>0</x:v>
      </x:c>
      <x:c r="I468" s="2" t="str">
        <x:f>IF(G468=0,"Paid",IF(H468=0,"Current",IF(H468&lt;=30,"1-30",IF(H468&lt;=60,"31-60",IF(H468&lt;=90,"61-90","91+")))))</x:f>
        <x:v>Paid</x:v>
      </x:c>
      <x:c r="J468" s="2" t="n">
        <x:f>IF(G468=0,0,IF(H468=0,1,IF(H468&lt;=30,2,IF(H468&lt;=60,3,IF(H468&lt;=90,4,5)))))</x:f>
        <x:v>0</x:v>
      </x:c>
      <x:c r="K468" s="2" t="str">
        <x:f>'Invoices'!F468</x:f>
        <x:v>No</x:v>
      </x:c>
      <x:c r="L468" s="10" t="n">
        <x:f>'Start Here'!$B$5</x:f>
        <x:v>46295</x:v>
      </x:c>
    </x:row>
    <x:row r="469" ht="23" customHeight="1">
      <x:c r="A469" s="2" t="str">
        <x:f>'Invoices'!A469</x:f>
        <x:v>INV00465</x:v>
      </x:c>
      <x:c r="B469" s="2" t="str">
        <x:f>'Invoices'!B469</x:f>
        <x:v>C039</x:v>
      </x:c>
      <x:c r="C469" s="10" t="n">
        <x:f>'Invoices'!C469</x:f>
        <x:v>46150</x:v>
      </x:c>
      <x:c r="D469" s="10" t="n">
        <x:f>'Invoices'!D469</x:f>
        <x:v>46195</x:v>
      </x:c>
      <x:c r="E469" s="11" t="n">
        <x:f>'Invoices'!E469</x:f>
        <x:v>11106.29</x:v>
      </x:c>
      <x:c r="F469" s="11" t="n">
        <x:f>SUMIFS('Payments'!$E$5:$E$429,'Payments'!$B$5:$B$429,A469,'Payments'!$D$5:$D$429,"&lt;="&amp;'Start Here'!$B$5)</x:f>
        <x:v>11106.29</x:v>
      </x:c>
      <x:c r="G469" s="11" t="n">
        <x:f>ROUND(E469-F469,2)</x:f>
        <x:v>0</x:v>
      </x:c>
      <x:c r="H469" s="2" t="n">
        <x:f>IF(G469&gt;0,MAX(0,'Start Here'!$B$5-D469),0)</x:f>
        <x:v>0</x:v>
      </x:c>
      <x:c r="I469" s="2" t="str">
        <x:f>IF(G469=0,"Paid",IF(H469=0,"Current",IF(H469&lt;=30,"1-30",IF(H469&lt;=60,"31-60",IF(H469&lt;=90,"61-90","91+")))))</x:f>
        <x:v>Paid</x:v>
      </x:c>
      <x:c r="J469" s="2" t="n">
        <x:f>IF(G469=0,0,IF(H469=0,1,IF(H469&lt;=30,2,IF(H469&lt;=60,3,IF(H469&lt;=90,4,5)))))</x:f>
        <x:v>0</x:v>
      </x:c>
      <x:c r="K469" s="2" t="str">
        <x:f>'Invoices'!F469</x:f>
        <x:v>No</x:v>
      </x:c>
      <x:c r="L469" s="10" t="n">
        <x:f>'Start Here'!$B$5</x:f>
        <x:v>46295</x:v>
      </x:c>
    </x:row>
    <x:row r="470" ht="23" customHeight="1">
      <x:c r="A470" s="2" t="str">
        <x:f>'Invoices'!A470</x:f>
        <x:v>INV00466</x:v>
      </x:c>
      <x:c r="B470" s="2" t="str">
        <x:f>'Invoices'!B470</x:f>
        <x:v>C038</x:v>
      </x:c>
      <x:c r="C470" s="10" t="n">
        <x:f>'Invoices'!C470</x:f>
        <x:v>46157</x:v>
      </x:c>
      <x:c r="D470" s="10" t="n">
        <x:f>'Invoices'!D470</x:f>
        <x:v>46217</x:v>
      </x:c>
      <x:c r="E470" s="11" t="n">
        <x:f>'Invoices'!E470</x:f>
        <x:v>19283.06</x:v>
      </x:c>
      <x:c r="F470" s="11" t="n">
        <x:f>SUMIFS('Payments'!$E$5:$E$429,'Payments'!$B$5:$B$429,A470,'Payments'!$D$5:$D$429,"&lt;="&amp;'Start Here'!$B$5)</x:f>
        <x:v>19283.06</x:v>
      </x:c>
      <x:c r="G470" s="11" t="n">
        <x:f>ROUND(E470-F470,2)</x:f>
        <x:v>0</x:v>
      </x:c>
      <x:c r="H470" s="2" t="n">
        <x:f>IF(G470&gt;0,MAX(0,'Start Here'!$B$5-D470),0)</x:f>
        <x:v>0</x:v>
      </x:c>
      <x:c r="I470" s="2" t="str">
        <x:f>IF(G470=0,"Paid",IF(H470=0,"Current",IF(H470&lt;=30,"1-30",IF(H470&lt;=60,"31-60",IF(H470&lt;=90,"61-90","91+")))))</x:f>
        <x:v>Paid</x:v>
      </x:c>
      <x:c r="J470" s="2" t="n">
        <x:f>IF(G470=0,0,IF(H470=0,1,IF(H470&lt;=30,2,IF(H470&lt;=60,3,IF(H470&lt;=90,4,5)))))</x:f>
        <x:v>0</x:v>
      </x:c>
      <x:c r="K470" s="2" t="str">
        <x:f>'Invoices'!F470</x:f>
        <x:v>No</x:v>
      </x:c>
      <x:c r="L470" s="10" t="n">
        <x:f>'Start Here'!$B$5</x:f>
        <x:v>46295</x:v>
      </x:c>
    </x:row>
    <x:row r="471" ht="23" customHeight="1">
      <x:c r="A471" s="2" t="str">
        <x:f>'Invoices'!A471</x:f>
        <x:v>INV00467</x:v>
      </x:c>
      <x:c r="B471" s="2" t="str">
        <x:f>'Invoices'!B471</x:f>
        <x:v>C025</x:v>
      </x:c>
      <x:c r="C471" s="10" t="n">
        <x:f>'Invoices'!C471</x:f>
        <x:v>46294</x:v>
      </x:c>
      <x:c r="D471" s="10" t="n">
        <x:f>'Invoices'!D471</x:f>
        <x:v>46354</x:v>
      </x:c>
      <x:c r="E471" s="11" t="n">
        <x:f>'Invoices'!E471</x:f>
        <x:v>848.31</x:v>
      </x:c>
      <x:c r="F471" s="11" t="n">
        <x:f>SUMIFS('Payments'!$E$5:$E$429,'Payments'!$B$5:$B$429,A471,'Payments'!$D$5:$D$429,"&lt;="&amp;'Start Here'!$B$5)</x:f>
        <x:v>0</x:v>
      </x:c>
      <x:c r="G471" s="11" t="n">
        <x:f>ROUND(E471-F471,2)</x:f>
        <x:v>848.31</x:v>
      </x:c>
      <x:c r="H471" s="2" t="n">
        <x:f>IF(G471&gt;0,MAX(0,'Start Here'!$B$5-D471),0)</x:f>
        <x:v>0</x:v>
      </x:c>
      <x:c r="I471" s="2" t="str">
        <x:f>IF(G471=0,"Paid",IF(H471=0,"Current",IF(H471&lt;=30,"1-30",IF(H471&lt;=60,"31-60",IF(H471&lt;=90,"61-90","91+")))))</x:f>
        <x:v>Current</x:v>
      </x:c>
      <x:c r="J471" s="2" t="n">
        <x:f>IF(G471=0,0,IF(H471=0,1,IF(H471&lt;=30,2,IF(H471&lt;=60,3,IF(H471&lt;=90,4,5)))))</x:f>
        <x:v>1</x:v>
      </x:c>
      <x:c r="K471" s="2" t="str">
        <x:f>'Invoices'!F471</x:f>
        <x:v>No</x:v>
      </x:c>
      <x:c r="L471" s="10" t="n">
        <x:f>'Start Here'!$B$5</x:f>
        <x:v>46295</x:v>
      </x:c>
    </x:row>
    <x:row r="472" ht="23" customHeight="1">
      <x:c r="A472" s="2" t="str">
        <x:f>'Invoices'!A472</x:f>
        <x:v>INV00468</x:v>
      </x:c>
      <x:c r="B472" s="2" t="str">
        <x:f>'Invoices'!B472</x:f>
        <x:v>C020</x:v>
      </x:c>
      <x:c r="C472" s="10" t="n">
        <x:f>'Invoices'!C472</x:f>
        <x:v>46152</x:v>
      </x:c>
      <x:c r="D472" s="10" t="n">
        <x:f>'Invoices'!D472</x:f>
        <x:v>46182</x:v>
      </x:c>
      <x:c r="E472" s="11" t="n">
        <x:f>'Invoices'!E472</x:f>
        <x:v>3342.86</x:v>
      </x:c>
      <x:c r="F472" s="11" t="n">
        <x:f>SUMIFS('Payments'!$E$5:$E$429,'Payments'!$B$5:$B$429,A472,'Payments'!$D$5:$D$429,"&lt;="&amp;'Start Here'!$B$5)</x:f>
        <x:v>3342.86</x:v>
      </x:c>
      <x:c r="G472" s="11" t="n">
        <x:f>ROUND(E472-F472,2)</x:f>
        <x:v>0</x:v>
      </x:c>
      <x:c r="H472" s="2" t="n">
        <x:f>IF(G472&gt;0,MAX(0,'Start Here'!$B$5-D472),0)</x:f>
        <x:v>0</x:v>
      </x:c>
      <x:c r="I472" s="2" t="str">
        <x:f>IF(G472=0,"Paid",IF(H472=0,"Current",IF(H472&lt;=30,"1-30",IF(H472&lt;=60,"31-60",IF(H472&lt;=90,"61-90","91+")))))</x:f>
        <x:v>Paid</x:v>
      </x:c>
      <x:c r="J472" s="2" t="n">
        <x:f>IF(G472=0,0,IF(H472=0,1,IF(H472&lt;=30,2,IF(H472&lt;=60,3,IF(H472&lt;=90,4,5)))))</x:f>
        <x:v>0</x:v>
      </x:c>
      <x:c r="K472" s="2" t="str">
        <x:f>'Invoices'!F472</x:f>
        <x:v>No</x:v>
      </x:c>
      <x:c r="L472" s="10" t="n">
        <x:f>'Start Here'!$B$5</x:f>
        <x:v>46295</x:v>
      </x:c>
    </x:row>
    <x:row r="473" ht="23" customHeight="1">
      <x:c r="A473" s="2" t="str">
        <x:f>'Invoices'!A473</x:f>
        <x:v>INV00469</x:v>
      </x:c>
      <x:c r="B473" s="2" t="str">
        <x:f>'Invoices'!B473</x:f>
        <x:v>C025</x:v>
      </x:c>
      <x:c r="C473" s="10" t="n">
        <x:f>'Invoices'!C473</x:f>
        <x:v>46130</x:v>
      </x:c>
      <x:c r="D473" s="10" t="n">
        <x:f>'Invoices'!D473</x:f>
        <x:v>46145</x:v>
      </x:c>
      <x:c r="E473" s="11" t="n">
        <x:f>'Invoices'!E473</x:f>
        <x:v>9219.48</x:v>
      </x:c>
      <x:c r="F473" s="11" t="n">
        <x:f>SUMIFS('Payments'!$E$5:$E$429,'Payments'!$B$5:$B$429,A473,'Payments'!$D$5:$D$429,"&lt;="&amp;'Start Here'!$B$5)</x:f>
        <x:v>9219.48</x:v>
      </x:c>
      <x:c r="G473" s="11" t="n">
        <x:f>ROUND(E473-F473,2)</x:f>
        <x:v>0</x:v>
      </x:c>
      <x:c r="H473" s="2" t="n">
        <x:f>IF(G473&gt;0,MAX(0,'Start Here'!$B$5-D473),0)</x:f>
        <x:v>0</x:v>
      </x:c>
      <x:c r="I473" s="2" t="str">
        <x:f>IF(G473=0,"Paid",IF(H473=0,"Current",IF(H473&lt;=30,"1-30",IF(H473&lt;=60,"31-60",IF(H473&lt;=90,"61-90","91+")))))</x:f>
        <x:v>Paid</x:v>
      </x:c>
      <x:c r="J473" s="2" t="n">
        <x:f>IF(G473=0,0,IF(H473=0,1,IF(H473&lt;=30,2,IF(H473&lt;=60,3,IF(H473&lt;=90,4,5)))))</x:f>
        <x:v>0</x:v>
      </x:c>
      <x:c r="K473" s="2" t="str">
        <x:f>'Invoices'!F473</x:f>
        <x:v>No</x:v>
      </x:c>
      <x:c r="L473" s="10" t="n">
        <x:f>'Start Here'!$B$5</x:f>
        <x:v>46295</x:v>
      </x:c>
    </x:row>
    <x:row r="474" ht="23" customHeight="1">
      <x:c r="A474" s="2" t="str">
        <x:f>'Invoices'!A474</x:f>
        <x:v>INV00470</x:v>
      </x:c>
      <x:c r="B474" s="2" t="str">
        <x:f>'Invoices'!B474</x:f>
        <x:v>C027</x:v>
      </x:c>
      <x:c r="C474" s="10" t="n">
        <x:f>'Invoices'!C474</x:f>
        <x:v>46046</x:v>
      </x:c>
      <x:c r="D474" s="10" t="n">
        <x:f>'Invoices'!D474</x:f>
        <x:v>46091</x:v>
      </x:c>
      <x:c r="E474" s="11" t="n">
        <x:f>'Invoices'!E474</x:f>
        <x:v>14838.47</x:v>
      </x:c>
      <x:c r="F474" s="11" t="n">
        <x:f>SUMIFS('Payments'!$E$5:$E$429,'Payments'!$B$5:$B$429,A474,'Payments'!$D$5:$D$429,"&lt;="&amp;'Start Here'!$B$5)</x:f>
        <x:v>14838.47</x:v>
      </x:c>
      <x:c r="G474" s="11" t="n">
        <x:f>ROUND(E474-F474,2)</x:f>
        <x:v>0</x:v>
      </x:c>
      <x:c r="H474" s="2" t="n">
        <x:f>IF(G474&gt;0,MAX(0,'Start Here'!$B$5-D474),0)</x:f>
        <x:v>0</x:v>
      </x:c>
      <x:c r="I474" s="2" t="str">
        <x:f>IF(G474=0,"Paid",IF(H474=0,"Current",IF(H474&lt;=30,"1-30",IF(H474&lt;=60,"31-60",IF(H474&lt;=90,"61-90","91+")))))</x:f>
        <x:v>Paid</x:v>
      </x:c>
      <x:c r="J474" s="2" t="n">
        <x:f>IF(G474=0,0,IF(H474=0,1,IF(H474&lt;=30,2,IF(H474&lt;=60,3,IF(H474&lt;=90,4,5)))))</x:f>
        <x:v>0</x:v>
      </x:c>
      <x:c r="K474" s="2" t="str">
        <x:f>'Invoices'!F474</x:f>
        <x:v>No</x:v>
      </x:c>
      <x:c r="L474" s="10" t="n">
        <x:f>'Start Here'!$B$5</x:f>
        <x:v>46295</x:v>
      </x:c>
    </x:row>
    <x:row r="475" ht="23" customHeight="1">
      <x:c r="A475" s="2" t="str">
        <x:f>'Invoices'!A475</x:f>
        <x:v>INV00471</x:v>
      </x:c>
      <x:c r="B475" s="2" t="str">
        <x:f>'Invoices'!B475</x:f>
        <x:v>C036</x:v>
      </x:c>
      <x:c r="C475" s="10" t="n">
        <x:f>'Invoices'!C475</x:f>
        <x:v>46218</x:v>
      </x:c>
      <x:c r="D475" s="10" t="n">
        <x:f>'Invoices'!D475</x:f>
        <x:v>46233</x:v>
      </x:c>
      <x:c r="E475" s="11" t="n">
        <x:f>'Invoices'!E475</x:f>
        <x:v>15723.41</x:v>
      </x:c>
      <x:c r="F475" s="11" t="n">
        <x:f>SUMIFS('Payments'!$E$5:$E$429,'Payments'!$B$5:$B$429,A475,'Payments'!$D$5:$D$429,"&lt;="&amp;'Start Here'!$B$5)</x:f>
        <x:v>15723.41</x:v>
      </x:c>
      <x:c r="G475" s="11" t="n">
        <x:f>ROUND(E475-F475,2)</x:f>
        <x:v>0</x:v>
      </x:c>
      <x:c r="H475" s="2" t="n">
        <x:f>IF(G475&gt;0,MAX(0,'Start Here'!$B$5-D475),0)</x:f>
        <x:v>0</x:v>
      </x:c>
      <x:c r="I475" s="2" t="str">
        <x:f>IF(G475=0,"Paid",IF(H475=0,"Current",IF(H475&lt;=30,"1-30",IF(H475&lt;=60,"31-60",IF(H475&lt;=90,"61-90","91+")))))</x:f>
        <x:v>Paid</x:v>
      </x:c>
      <x:c r="J475" s="2" t="n">
        <x:f>IF(G475=0,0,IF(H475=0,1,IF(H475&lt;=30,2,IF(H475&lt;=60,3,IF(H475&lt;=90,4,5)))))</x:f>
        <x:v>0</x:v>
      </x:c>
      <x:c r="K475" s="2" t="str">
        <x:f>'Invoices'!F475</x:f>
        <x:v>No</x:v>
      </x:c>
      <x:c r="L475" s="10" t="n">
        <x:f>'Start Here'!$B$5</x:f>
        <x:v>46295</x:v>
      </x:c>
    </x:row>
    <x:row r="476" ht="23" customHeight="1">
      <x:c r="A476" s="2" t="str">
        <x:f>'Invoices'!A476</x:f>
        <x:v>INV00472</x:v>
      </x:c>
      <x:c r="B476" s="2" t="str">
        <x:f>'Invoices'!B476</x:f>
        <x:v>C031</x:v>
      </x:c>
      <x:c r="C476" s="10" t="n">
        <x:f>'Invoices'!C476</x:f>
        <x:v>46137</x:v>
      </x:c>
      <x:c r="D476" s="10" t="n">
        <x:f>'Invoices'!D476</x:f>
        <x:v>46182</x:v>
      </x:c>
      <x:c r="E476" s="11" t="n">
        <x:f>'Invoices'!E476</x:f>
        <x:v>10897.31</x:v>
      </x:c>
      <x:c r="F476" s="11" t="n">
        <x:f>SUMIFS('Payments'!$E$5:$E$429,'Payments'!$B$5:$B$429,A476,'Payments'!$D$5:$D$429,"&lt;="&amp;'Start Here'!$B$5)</x:f>
        <x:v>0</x:v>
      </x:c>
      <x:c r="G476" s="11" t="n">
        <x:f>ROUND(E476-F476,2)</x:f>
        <x:v>10897.31</x:v>
      </x:c>
      <x:c r="H476" s="2" t="n">
        <x:f>IF(G476&gt;0,MAX(0,'Start Here'!$B$5-D476),0)</x:f>
        <x:v>113</x:v>
      </x:c>
      <x:c r="I476" s="2" t="str">
        <x:f>IF(G476=0,"Paid",IF(H476=0,"Current",IF(H476&lt;=30,"1-30",IF(H476&lt;=60,"31-60",IF(H476&lt;=90,"61-90","91+")))))</x:f>
        <x:v>91+</x:v>
      </x:c>
      <x:c r="J476" s="2" t="n">
        <x:f>IF(G476=0,0,IF(H476=0,1,IF(H476&lt;=30,2,IF(H476&lt;=60,3,IF(H476&lt;=90,4,5)))))</x:f>
        <x:v>5</x:v>
      </x:c>
      <x:c r="K476" s="2" t="str">
        <x:f>'Invoices'!F476</x:f>
        <x:v>No</x:v>
      </x:c>
      <x:c r="L476" s="10" t="n">
        <x:f>'Start Here'!$B$5</x:f>
        <x:v>46295</x:v>
      </x:c>
    </x:row>
    <x:row r="477" ht="23" customHeight="1">
      <x:c r="A477" s="2" t="str">
        <x:f>'Invoices'!A477</x:f>
        <x:v>INV00473</x:v>
      </x:c>
      <x:c r="B477" s="2" t="str">
        <x:f>'Invoices'!B477</x:f>
        <x:v>C024</x:v>
      </x:c>
      <x:c r="C477" s="10" t="n">
        <x:f>'Invoices'!C477</x:f>
        <x:v>46143</x:v>
      </x:c>
      <x:c r="D477" s="10" t="n">
        <x:f>'Invoices'!D477</x:f>
        <x:v>46188</x:v>
      </x:c>
      <x:c r="E477" s="11" t="n">
        <x:f>'Invoices'!E477</x:f>
        <x:v>6816.75</x:v>
      </x:c>
      <x:c r="F477" s="11" t="n">
        <x:f>SUMIFS('Payments'!$E$5:$E$429,'Payments'!$B$5:$B$429,A477,'Payments'!$D$5:$D$429,"&lt;="&amp;'Start Here'!$B$5)</x:f>
        <x:v>6816.75</x:v>
      </x:c>
      <x:c r="G477" s="11" t="n">
        <x:f>ROUND(E477-F477,2)</x:f>
        <x:v>0</x:v>
      </x:c>
      <x:c r="H477" s="2" t="n">
        <x:f>IF(G477&gt;0,MAX(0,'Start Here'!$B$5-D477),0)</x:f>
        <x:v>0</x:v>
      </x:c>
      <x:c r="I477" s="2" t="str">
        <x:f>IF(G477=0,"Paid",IF(H477=0,"Current",IF(H477&lt;=30,"1-30",IF(H477&lt;=60,"31-60",IF(H477&lt;=90,"61-90","91+")))))</x:f>
        <x:v>Paid</x:v>
      </x:c>
      <x:c r="J477" s="2" t="n">
        <x:f>IF(G477=0,0,IF(H477=0,1,IF(H477&lt;=30,2,IF(H477&lt;=60,3,IF(H477&lt;=90,4,5)))))</x:f>
        <x:v>0</x:v>
      </x:c>
      <x:c r="K477" s="2" t="str">
        <x:f>'Invoices'!F477</x:f>
        <x:v>No</x:v>
      </x:c>
      <x:c r="L477" s="10" t="n">
        <x:f>'Start Here'!$B$5</x:f>
        <x:v>46295</x:v>
      </x:c>
    </x:row>
    <x:row r="478" ht="23" customHeight="1">
      <x:c r="A478" s="2" t="str">
        <x:f>'Invoices'!A478</x:f>
        <x:v>INV00474</x:v>
      </x:c>
      <x:c r="B478" s="2" t="str">
        <x:f>'Invoices'!B478</x:f>
        <x:v>C023</x:v>
      </x:c>
      <x:c r="C478" s="10" t="n">
        <x:f>'Invoices'!C478</x:f>
        <x:v>46165</x:v>
      </x:c>
      <x:c r="D478" s="10" t="n">
        <x:f>'Invoices'!D478</x:f>
        <x:v>46195</x:v>
      </x:c>
      <x:c r="E478" s="11" t="n">
        <x:f>'Invoices'!E478</x:f>
        <x:v>13460.98</x:v>
      </x:c>
      <x:c r="F478" s="11" t="n">
        <x:f>SUMIFS('Payments'!$E$5:$E$429,'Payments'!$B$5:$B$429,A478,'Payments'!$D$5:$D$429,"&lt;="&amp;'Start Here'!$B$5)</x:f>
        <x:v>13460.98</x:v>
      </x:c>
      <x:c r="G478" s="11" t="n">
        <x:f>ROUND(E478-F478,2)</x:f>
        <x:v>0</x:v>
      </x:c>
      <x:c r="H478" s="2" t="n">
        <x:f>IF(G478&gt;0,MAX(0,'Start Here'!$B$5-D478),0)</x:f>
        <x:v>0</x:v>
      </x:c>
      <x:c r="I478" s="2" t="str">
        <x:f>IF(G478=0,"Paid",IF(H478=0,"Current",IF(H478&lt;=30,"1-30",IF(H478&lt;=60,"31-60",IF(H478&lt;=90,"61-90","91+")))))</x:f>
        <x:v>Paid</x:v>
      </x:c>
      <x:c r="J478" s="2" t="n">
        <x:f>IF(G478=0,0,IF(H478=0,1,IF(H478&lt;=30,2,IF(H478&lt;=60,3,IF(H478&lt;=90,4,5)))))</x:f>
        <x:v>0</x:v>
      </x:c>
      <x:c r="K478" s="2" t="str">
        <x:f>'Invoices'!F478</x:f>
        <x:v>No</x:v>
      </x:c>
      <x:c r="L478" s="10" t="n">
        <x:f>'Start Here'!$B$5</x:f>
        <x:v>46295</x:v>
      </x:c>
    </x:row>
    <x:row r="479" ht="23" customHeight="1">
      <x:c r="A479" s="2" t="str">
        <x:f>'Invoices'!A479</x:f>
        <x:v>INV00475</x:v>
      </x:c>
      <x:c r="B479" s="2" t="str">
        <x:f>'Invoices'!B479</x:f>
        <x:v>C010</x:v>
      </x:c>
      <x:c r="C479" s="10" t="n">
        <x:f>'Invoices'!C479</x:f>
        <x:v>46165</x:v>
      </x:c>
      <x:c r="D479" s="10" t="n">
        <x:f>'Invoices'!D479</x:f>
        <x:v>46195</x:v>
      </x:c>
      <x:c r="E479" s="11" t="n">
        <x:f>'Invoices'!E479</x:f>
        <x:v>4179.8</x:v>
      </x:c>
      <x:c r="F479" s="11" t="n">
        <x:f>SUMIFS('Payments'!$E$5:$E$429,'Payments'!$B$5:$B$429,A479,'Payments'!$D$5:$D$429,"&lt;="&amp;'Start Here'!$B$5)</x:f>
        <x:v>4179.8</x:v>
      </x:c>
      <x:c r="G479" s="11" t="n">
        <x:f>ROUND(E479-F479,2)</x:f>
        <x:v>0</x:v>
      </x:c>
      <x:c r="H479" s="2" t="n">
        <x:f>IF(G479&gt;0,MAX(0,'Start Here'!$B$5-D479),0)</x:f>
        <x:v>0</x:v>
      </x:c>
      <x:c r="I479" s="2" t="str">
        <x:f>IF(G479=0,"Paid",IF(H479=0,"Current",IF(H479&lt;=30,"1-30",IF(H479&lt;=60,"31-60",IF(H479&lt;=90,"61-90","91+")))))</x:f>
        <x:v>Paid</x:v>
      </x:c>
      <x:c r="J479" s="2" t="n">
        <x:f>IF(G479=0,0,IF(H479=0,1,IF(H479&lt;=30,2,IF(H479&lt;=60,3,IF(H479&lt;=90,4,5)))))</x:f>
        <x:v>0</x:v>
      </x:c>
      <x:c r="K479" s="2" t="str">
        <x:f>'Invoices'!F479</x:f>
        <x:v>No</x:v>
      </x:c>
      <x:c r="L479" s="10" t="n">
        <x:f>'Start Here'!$B$5</x:f>
        <x:v>46295</x:v>
      </x:c>
    </x:row>
    <x:row r="480" ht="23" customHeight="1">
      <x:c r="A480" s="2" t="str">
        <x:f>'Invoices'!A480</x:f>
        <x:v>INV00476</x:v>
      </x:c>
      <x:c r="B480" s="2" t="str">
        <x:f>'Invoices'!B480</x:f>
        <x:v>C005</x:v>
      </x:c>
      <x:c r="C480" s="10" t="n">
        <x:f>'Invoices'!C480</x:f>
        <x:v>46146</x:v>
      </x:c>
      <x:c r="D480" s="10" t="n">
        <x:f>'Invoices'!D480</x:f>
        <x:v>46176</x:v>
      </x:c>
      <x:c r="E480" s="11" t="n">
        <x:f>'Invoices'!E480</x:f>
        <x:v>8207.5</x:v>
      </x:c>
      <x:c r="F480" s="11" t="n">
        <x:f>SUMIFS('Payments'!$E$5:$E$429,'Payments'!$B$5:$B$429,A480,'Payments'!$D$5:$D$429,"&lt;="&amp;'Start Here'!$B$5)</x:f>
        <x:v>0</x:v>
      </x:c>
      <x:c r="G480" s="11" t="n">
        <x:f>ROUND(E480-F480,2)</x:f>
        <x:v>8207.5</x:v>
      </x:c>
      <x:c r="H480" s="2" t="n">
        <x:f>IF(G480&gt;0,MAX(0,'Start Here'!$B$5-D480),0)</x:f>
        <x:v>119</x:v>
      </x:c>
      <x:c r="I480" s="2" t="str">
        <x:f>IF(G480=0,"Paid",IF(H480=0,"Current",IF(H480&lt;=30,"1-30",IF(H480&lt;=60,"31-60",IF(H480&lt;=90,"61-90","91+")))))</x:f>
        <x:v>91+</x:v>
      </x:c>
      <x:c r="J480" s="2" t="n">
        <x:f>IF(G480=0,0,IF(H480=0,1,IF(H480&lt;=30,2,IF(H480&lt;=60,3,IF(H480&lt;=90,4,5)))))</x:f>
        <x:v>5</x:v>
      </x:c>
      <x:c r="K480" s="2" t="str">
        <x:f>'Invoices'!F480</x:f>
        <x:v>No</x:v>
      </x:c>
      <x:c r="L480" s="10" t="n">
        <x:f>'Start Here'!$B$5</x:f>
        <x:v>46295</x:v>
      </x:c>
    </x:row>
    <x:row r="481" ht="23" customHeight="1">
      <x:c r="A481" s="2" t="str">
        <x:f>'Invoices'!A481</x:f>
        <x:v>INV00477</x:v>
      </x:c>
      <x:c r="B481" s="2" t="str">
        <x:f>'Invoices'!B481</x:f>
        <x:v>C038</x:v>
      </x:c>
      <x:c r="C481" s="10" t="n">
        <x:f>'Invoices'!C481</x:f>
        <x:v>46098</x:v>
      </x:c>
      <x:c r="D481" s="10" t="n">
        <x:f>'Invoices'!D481</x:f>
        <x:v>46128</x:v>
      </x:c>
      <x:c r="E481" s="11" t="n">
        <x:f>'Invoices'!E481</x:f>
        <x:v>9396.56</x:v>
      </x:c>
      <x:c r="F481" s="11" t="n">
        <x:f>SUMIFS('Payments'!$E$5:$E$429,'Payments'!$B$5:$B$429,A481,'Payments'!$D$5:$D$429,"&lt;="&amp;'Start Here'!$B$5)</x:f>
        <x:v>9396.56</x:v>
      </x:c>
      <x:c r="G481" s="11" t="n">
        <x:f>ROUND(E481-F481,2)</x:f>
        <x:v>0</x:v>
      </x:c>
      <x:c r="H481" s="2" t="n">
        <x:f>IF(G481&gt;0,MAX(0,'Start Here'!$B$5-D481),0)</x:f>
        <x:v>0</x:v>
      </x:c>
      <x:c r="I481" s="2" t="str">
        <x:f>IF(G481=0,"Paid",IF(H481=0,"Current",IF(H481&lt;=30,"1-30",IF(H481&lt;=60,"31-60",IF(H481&lt;=90,"61-90","91+")))))</x:f>
        <x:v>Paid</x:v>
      </x:c>
      <x:c r="J481" s="2" t="n">
        <x:f>IF(G481=0,0,IF(H481=0,1,IF(H481&lt;=30,2,IF(H481&lt;=60,3,IF(H481&lt;=90,4,5)))))</x:f>
        <x:v>0</x:v>
      </x:c>
      <x:c r="K481" s="2" t="str">
        <x:f>'Invoices'!F481</x:f>
        <x:v>No</x:v>
      </x:c>
      <x:c r="L481" s="10" t="n">
        <x:f>'Start Here'!$B$5</x:f>
        <x:v>46295</x:v>
      </x:c>
    </x:row>
    <x:row r="482" ht="23" customHeight="1">
      <x:c r="A482" s="2" t="str">
        <x:f>'Invoices'!A482</x:f>
        <x:v>INV00478</x:v>
      </x:c>
      <x:c r="B482" s="2" t="str">
        <x:f>'Invoices'!B482</x:f>
        <x:v>C015</x:v>
      </x:c>
      <x:c r="C482" s="10" t="n">
        <x:f>'Invoices'!C482</x:f>
        <x:v>46078</x:v>
      </x:c>
      <x:c r="D482" s="10" t="n">
        <x:f>'Invoices'!D482</x:f>
        <x:v>46123</x:v>
      </x:c>
      <x:c r="E482" s="11" t="n">
        <x:f>'Invoices'!E482</x:f>
        <x:v>19000.35</x:v>
      </x:c>
      <x:c r="F482" s="11" t="n">
        <x:f>SUMIFS('Payments'!$E$5:$E$429,'Payments'!$B$5:$B$429,A482,'Payments'!$D$5:$D$429,"&lt;="&amp;'Start Here'!$B$5)</x:f>
        <x:v>0</x:v>
      </x:c>
      <x:c r="G482" s="11" t="n">
        <x:f>ROUND(E482-F482,2)</x:f>
        <x:v>19000.35</x:v>
      </x:c>
      <x:c r="H482" s="2" t="n">
        <x:f>IF(G482&gt;0,MAX(0,'Start Here'!$B$5-D482),0)</x:f>
        <x:v>172</x:v>
      </x:c>
      <x:c r="I482" s="2" t="str">
        <x:f>IF(G482=0,"Paid",IF(H482=0,"Current",IF(H482&lt;=30,"1-30",IF(H482&lt;=60,"31-60",IF(H482&lt;=90,"61-90","91+")))))</x:f>
        <x:v>91+</x:v>
      </x:c>
      <x:c r="J482" s="2" t="n">
        <x:f>IF(G482=0,0,IF(H482=0,1,IF(H482&lt;=30,2,IF(H482&lt;=60,3,IF(H482&lt;=90,4,5)))))</x:f>
        <x:v>5</x:v>
      </x:c>
      <x:c r="K482" s="2" t="str">
        <x:f>'Invoices'!F482</x:f>
        <x:v>No</x:v>
      </x:c>
      <x:c r="L482" s="10" t="n">
        <x:f>'Start Here'!$B$5</x:f>
        <x:v>46295</x:v>
      </x:c>
    </x:row>
    <x:row r="483" ht="23" customHeight="1">
      <x:c r="A483" s="2" t="str">
        <x:f>'Invoices'!A483</x:f>
        <x:v>INV00479</x:v>
      </x:c>
      <x:c r="B483" s="2" t="str">
        <x:f>'Invoices'!B483</x:f>
        <x:v>C009</x:v>
      </x:c>
      <x:c r="C483" s="10" t="n">
        <x:f>'Invoices'!C483</x:f>
        <x:v>46241</x:v>
      </x:c>
      <x:c r="D483" s="10" t="n">
        <x:f>'Invoices'!D483</x:f>
        <x:v>46256</x:v>
      </x:c>
      <x:c r="E483" s="11" t="n">
        <x:f>'Invoices'!E483</x:f>
        <x:v>16883.73</x:v>
      </x:c>
      <x:c r="F483" s="11" t="n">
        <x:f>SUMIFS('Payments'!$E$5:$E$429,'Payments'!$B$5:$B$429,A483,'Payments'!$D$5:$D$429,"&lt;="&amp;'Start Here'!$B$5)</x:f>
        <x:v>16883.73</x:v>
      </x:c>
      <x:c r="G483" s="11" t="n">
        <x:f>ROUND(E483-F483,2)</x:f>
        <x:v>0</x:v>
      </x:c>
      <x:c r="H483" s="2" t="n">
        <x:f>IF(G483&gt;0,MAX(0,'Start Here'!$B$5-D483),0)</x:f>
        <x:v>0</x:v>
      </x:c>
      <x:c r="I483" s="2" t="str">
        <x:f>IF(G483=0,"Paid",IF(H483=0,"Current",IF(H483&lt;=30,"1-30",IF(H483&lt;=60,"31-60",IF(H483&lt;=90,"61-90","91+")))))</x:f>
        <x:v>Paid</x:v>
      </x:c>
      <x:c r="J483" s="2" t="n">
        <x:f>IF(G483=0,0,IF(H483=0,1,IF(H483&lt;=30,2,IF(H483&lt;=60,3,IF(H483&lt;=90,4,5)))))</x:f>
        <x:v>0</x:v>
      </x:c>
      <x:c r="K483" s="2" t="str">
        <x:f>'Invoices'!F483</x:f>
        <x:v>No</x:v>
      </x:c>
      <x:c r="L483" s="10" t="n">
        <x:f>'Start Here'!$B$5</x:f>
        <x:v>46295</x:v>
      </x:c>
    </x:row>
    <x:row r="484" ht="23" customHeight="1">
      <x:c r="A484" s="2" t="str">
        <x:f>'Invoices'!A484</x:f>
        <x:v>INV00480</x:v>
      </x:c>
      <x:c r="B484" s="2" t="str">
        <x:f>'Invoices'!B484</x:f>
        <x:v>C034</x:v>
      </x:c>
      <x:c r="C484" s="10" t="n">
        <x:f>'Invoices'!C484</x:f>
        <x:v>46124</x:v>
      </x:c>
      <x:c r="D484" s="10" t="n">
        <x:f>'Invoices'!D484</x:f>
        <x:v>46169</x:v>
      </x:c>
      <x:c r="E484" s="11" t="n">
        <x:f>'Invoices'!E484</x:f>
        <x:v>16012.57</x:v>
      </x:c>
      <x:c r="F484" s="11" t="n">
        <x:f>SUMIFS('Payments'!$E$5:$E$429,'Payments'!$B$5:$B$429,A484,'Payments'!$D$5:$D$429,"&lt;="&amp;'Start Here'!$B$5)</x:f>
        <x:v>16012.57</x:v>
      </x:c>
      <x:c r="G484" s="11" t="n">
        <x:f>ROUND(E484-F484,2)</x:f>
        <x:v>0</x:v>
      </x:c>
      <x:c r="H484" s="2" t="n">
        <x:f>IF(G484&gt;0,MAX(0,'Start Here'!$B$5-D484),0)</x:f>
        <x:v>0</x:v>
      </x:c>
      <x:c r="I484" s="2" t="str">
        <x:f>IF(G484=0,"Paid",IF(H484=0,"Current",IF(H484&lt;=30,"1-30",IF(H484&lt;=60,"31-60",IF(H484&lt;=90,"61-90","91+")))))</x:f>
        <x:v>Paid</x:v>
      </x:c>
      <x:c r="J484" s="2" t="n">
        <x:f>IF(G484=0,0,IF(H484=0,1,IF(H484&lt;=30,2,IF(H484&lt;=60,3,IF(H484&lt;=90,4,5)))))</x:f>
        <x:v>0</x:v>
      </x:c>
      <x:c r="K484" s="2" t="str">
        <x:f>'Invoices'!F484</x:f>
        <x:v>No</x:v>
      </x:c>
      <x:c r="L484" s="10" t="n">
        <x:f>'Start Here'!$B$5</x:f>
        <x:v>46295</x:v>
      </x:c>
    </x:row>
  </x:sheetData>
  <x:conditionalFormatting sqref="H5:H484">
    <x:cfRule type="cellIs" dxfId="0" priority="1" operator="greaterThan">
      <x:formula>90</x:formula>
    </x:cfRule>
  </x:conditionalFormatting>
  <x:pageMargins left="0.7" right="0.7" top="0.75" bottom="0.75" header="0.3" footer="0.3"/>
  <x:tableParts count="1">
    <x:tablePart xmlns:r="http://schemas.openxmlformats.org/officeDocument/2006/relationships" r:id="R0ffa0608f5f14496"/>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25" hidden="0" customWidth="1"/>
    <x:col min="3" max="3" width="23" hidden="0" customWidth="1"/>
    <x:col min="4" max="4" width="25" hidden="0" customWidth="1"/>
    <x:col min="5" max="5" width="20" hidden="0" customWidth="1"/>
  </x:cols>
  <x:sheetData>
    <x:row r="1" ht="30" customHeight="1">
      <x:c r="A1" s="3" t="str">
        <x:v>Customers</x:v>
      </x:c>
      <x:c r="B1" s="2"/>
      <x:c r="C1" s="2"/>
      <x:c r="D1" s="2"/>
      <x:c r="E1" s="2"/>
    </x:row>
    <x:row r="2" ht="23" customHeight="1">
      <x:c r="A2" s="4" t="str">
        <x:v>Fictional portfolio data generated for this project. All amounts are CAD.</x:v>
      </x:c>
      <x:c r="B2" s="2"/>
      <x:c r="C2" s="2"/>
      <x:c r="D2" s="2"/>
      <x:c r="E2" s="2"/>
    </x:row>
    <x:row r="3" ht="23" customHeight="1">
      <x:c r="A3" s="5"/>
      <x:c r="B3" s="5"/>
      <x:c r="C3" s="5"/>
      <x:c r="D3" s="5"/>
      <x:c r="E3" s="5"/>
    </x:row>
    <x:row r="4" ht="34" customHeight="1">
      <x:c r="A4" s="9" t="str">
        <x:v>CustomerID</x:v>
      </x:c>
      <x:c r="B4" s="9" t="str">
        <x:v>CustomerName</x:v>
      </x:c>
      <x:c r="C4" s="9" t="str">
        <x:v>Region</x:v>
      </x:c>
      <x:c r="D4" s="9" t="str">
        <x:v>Industry</x:v>
      </x:c>
      <x:c r="E4" s="9" t="str">
        <x:v>AccountOwner</x:v>
      </x:c>
    </x:row>
    <x:row r="5" ht="23" customHeight="1">
      <x:c r="A5" s="2" t="str">
        <x:v>C001</x:v>
      </x:c>
      <x:c r="B5" s="2" t="str">
        <x:v>Sample Customer 01</x:v>
      </x:c>
      <x:c r="C5" s="2" t="str">
        <x:v>Ontario</x:v>
      </x:c>
      <x:c r="D5" s="2" t="str">
        <x:v>Wholesale</x:v>
      </x:c>
      <x:c r="E5" s="2" t="str">
        <x:v>Team 1</x:v>
      </x:c>
    </x:row>
    <x:row r="6" ht="23" customHeight="1">
      <x:c r="A6" s="2" t="str">
        <x:v>C002</x:v>
      </x:c>
      <x:c r="B6" s="2" t="str">
        <x:v>Sample Customer 02</x:v>
      </x:c>
      <x:c r="C6" s="2" t="str">
        <x:v>Quebec</x:v>
      </x:c>
      <x:c r="D6" s="2" t="str">
        <x:v>Wholesale</x:v>
      </x:c>
      <x:c r="E6" s="2" t="str">
        <x:v>Team 2</x:v>
      </x:c>
    </x:row>
    <x:row r="7" ht="23" customHeight="1">
      <x:c r="A7" s="2" t="str">
        <x:v>C003</x:v>
      </x:c>
      <x:c r="B7" s="2" t="str">
        <x:v>Sample Customer 03</x:v>
      </x:c>
      <x:c r="C7" s="2" t="str">
        <x:v>British Columbia</x:v>
      </x:c>
      <x:c r="D7" s="2" t="str">
        <x:v>Wholesale</x:v>
      </x:c>
      <x:c r="E7" s="2" t="str">
        <x:v>Team 3</x:v>
      </x:c>
    </x:row>
    <x:row r="8" ht="23" customHeight="1">
      <x:c r="A8" s="2" t="str">
        <x:v>C004</x:v>
      </x:c>
      <x:c r="B8" s="2" t="str">
        <x:v>Sample Customer 04</x:v>
      </x:c>
      <x:c r="C8" s="2" t="str">
        <x:v>Alberta</x:v>
      </x:c>
      <x:c r="D8" s="2" t="str">
        <x:v>Wholesale</x:v>
      </x:c>
      <x:c r="E8" s="2" t="str">
        <x:v>Team 1</x:v>
      </x:c>
    </x:row>
    <x:row r="9" ht="23" customHeight="1">
      <x:c r="A9" s="2" t="str">
        <x:v>C005</x:v>
      </x:c>
      <x:c r="B9" s="2" t="str">
        <x:v>Sample Customer 05</x:v>
      </x:c>
      <x:c r="C9" s="2" t="str">
        <x:v>Ontario</x:v>
      </x:c>
      <x:c r="D9" s="2" t="str">
        <x:v>Technology</x:v>
      </x:c>
      <x:c r="E9" s="2" t="str">
        <x:v>Team 2</x:v>
      </x:c>
    </x:row>
    <x:row r="10" ht="23" customHeight="1">
      <x:c r="A10" s="2" t="str">
        <x:v>C006</x:v>
      </x:c>
      <x:c r="B10" s="2" t="str">
        <x:v>Sample Customer 06</x:v>
      </x:c>
      <x:c r="C10" s="2" t="str">
        <x:v>Quebec</x:v>
      </x:c>
      <x:c r="D10" s="2" t="str">
        <x:v>Technology</x:v>
      </x:c>
      <x:c r="E10" s="2" t="str">
        <x:v>Team 3</x:v>
      </x:c>
    </x:row>
    <x:row r="11" ht="23" customHeight="1">
      <x:c r="A11" s="2" t="str">
        <x:v>C007</x:v>
      </x:c>
      <x:c r="B11" s="2" t="str">
        <x:v>Sample Customer 07</x:v>
      </x:c>
      <x:c r="C11" s="2" t="str">
        <x:v>British Columbia</x:v>
      </x:c>
      <x:c r="D11" s="2" t="str">
        <x:v>Technology</x:v>
      </x:c>
      <x:c r="E11" s="2" t="str">
        <x:v>Team 1</x:v>
      </x:c>
    </x:row>
    <x:row r="12" ht="23" customHeight="1">
      <x:c r="A12" s="2" t="str">
        <x:v>C008</x:v>
      </x:c>
      <x:c r="B12" s="2" t="str">
        <x:v>Sample Customer 08</x:v>
      </x:c>
      <x:c r="C12" s="2" t="str">
        <x:v>Alberta</x:v>
      </x:c>
      <x:c r="D12" s="2" t="str">
        <x:v>Technology</x:v>
      </x:c>
      <x:c r="E12" s="2" t="str">
        <x:v>Team 2</x:v>
      </x:c>
    </x:row>
    <x:row r="13" ht="23" customHeight="1">
      <x:c r="A13" s="2" t="str">
        <x:v>C009</x:v>
      </x:c>
      <x:c r="B13" s="2" t="str">
        <x:v>Sample Customer 09</x:v>
      </x:c>
      <x:c r="C13" s="2" t="str">
        <x:v>Ontario</x:v>
      </x:c>
      <x:c r="D13" s="2" t="str">
        <x:v>Manufacturing</x:v>
      </x:c>
      <x:c r="E13" s="2" t="str">
        <x:v>Team 3</x:v>
      </x:c>
    </x:row>
    <x:row r="14" ht="23" customHeight="1">
      <x:c r="A14" s="2" t="str">
        <x:v>C010</x:v>
      </x:c>
      <x:c r="B14" s="2" t="str">
        <x:v>Sample Customer 10</x:v>
      </x:c>
      <x:c r="C14" s="2" t="str">
        <x:v>Quebec</x:v>
      </x:c>
      <x:c r="D14" s="2" t="str">
        <x:v>Manufacturing</x:v>
      </x:c>
      <x:c r="E14" s="2" t="str">
        <x:v>Team 1</x:v>
      </x:c>
    </x:row>
    <x:row r="15" ht="23" customHeight="1">
      <x:c r="A15" s="2" t="str">
        <x:v>C011</x:v>
      </x:c>
      <x:c r="B15" s="2" t="str">
        <x:v>Sample Customer 11</x:v>
      </x:c>
      <x:c r="C15" s="2" t="str">
        <x:v>British Columbia</x:v>
      </x:c>
      <x:c r="D15" s="2" t="str">
        <x:v>Manufacturing</x:v>
      </x:c>
      <x:c r="E15" s="2" t="str">
        <x:v>Team 2</x:v>
      </x:c>
    </x:row>
    <x:row r="16" ht="23" customHeight="1">
      <x:c r="A16" s="2" t="str">
        <x:v>C012</x:v>
      </x:c>
      <x:c r="B16" s="2" t="str">
        <x:v>Sample Customer 12</x:v>
      </x:c>
      <x:c r="C16" s="2" t="str">
        <x:v>Alberta</x:v>
      </x:c>
      <x:c r="D16" s="2" t="str">
        <x:v>Manufacturing</x:v>
      </x:c>
      <x:c r="E16" s="2" t="str">
        <x:v>Team 3</x:v>
      </x:c>
    </x:row>
    <x:row r="17" ht="23" customHeight="1">
      <x:c r="A17" s="2" t="str">
        <x:v>C013</x:v>
      </x:c>
      <x:c r="B17" s="2" t="str">
        <x:v>Sample Customer 13</x:v>
      </x:c>
      <x:c r="C17" s="2" t="str">
        <x:v>Ontario</x:v>
      </x:c>
      <x:c r="D17" s="2" t="str">
        <x:v>Professional Services</x:v>
      </x:c>
      <x:c r="E17" s="2" t="str">
        <x:v>Team 1</x:v>
      </x:c>
    </x:row>
    <x:row r="18" ht="23" customHeight="1">
      <x:c r="A18" s="2" t="str">
        <x:v>C014</x:v>
      </x:c>
      <x:c r="B18" s="2" t="str">
        <x:v>Sample Customer 14</x:v>
      </x:c>
      <x:c r="C18" s="2" t="str">
        <x:v>Quebec</x:v>
      </x:c>
      <x:c r="D18" s="2" t="str">
        <x:v>Professional Services</x:v>
      </x:c>
      <x:c r="E18" s="2" t="str">
        <x:v>Team 2</x:v>
      </x:c>
    </x:row>
    <x:row r="19" ht="23" customHeight="1">
      <x:c r="A19" s="2" t="str">
        <x:v>C015</x:v>
      </x:c>
      <x:c r="B19" s="2" t="str">
        <x:v>Sample Customer 15</x:v>
      </x:c>
      <x:c r="C19" s="2" t="str">
        <x:v>British Columbia</x:v>
      </x:c>
      <x:c r="D19" s="2" t="str">
        <x:v>Professional Services</x:v>
      </x:c>
      <x:c r="E19" s="2" t="str">
        <x:v>Team 3</x:v>
      </x:c>
    </x:row>
    <x:row r="20" ht="23" customHeight="1">
      <x:c r="A20" s="2" t="str">
        <x:v>C016</x:v>
      </x:c>
      <x:c r="B20" s="2" t="str">
        <x:v>Sample Customer 16</x:v>
      </x:c>
      <x:c r="C20" s="2" t="str">
        <x:v>Alberta</x:v>
      </x:c>
      <x:c r="D20" s="2" t="str">
        <x:v>Professional Services</x:v>
      </x:c>
      <x:c r="E20" s="2" t="str">
        <x:v>Team 1</x:v>
      </x:c>
    </x:row>
    <x:row r="21" ht="23" customHeight="1">
      <x:c r="A21" s="2" t="str">
        <x:v>C017</x:v>
      </x:c>
      <x:c r="B21" s="2" t="str">
        <x:v>Sample Customer 17</x:v>
      </x:c>
      <x:c r="C21" s="2" t="str">
        <x:v>Ontario</x:v>
      </x:c>
      <x:c r="D21" s="2" t="str">
        <x:v>Wholesale</x:v>
      </x:c>
      <x:c r="E21" s="2" t="str">
        <x:v>Team 2</x:v>
      </x:c>
    </x:row>
    <x:row r="22" ht="23" customHeight="1">
      <x:c r="A22" s="2" t="str">
        <x:v>C018</x:v>
      </x:c>
      <x:c r="B22" s="2" t="str">
        <x:v>Sample Customer 18</x:v>
      </x:c>
      <x:c r="C22" s="2" t="str">
        <x:v>Quebec</x:v>
      </x:c>
      <x:c r="D22" s="2" t="str">
        <x:v>Wholesale</x:v>
      </x:c>
      <x:c r="E22" s="2" t="str">
        <x:v>Team 3</x:v>
      </x:c>
    </x:row>
    <x:row r="23" ht="23" customHeight="1">
      <x:c r="A23" s="2" t="str">
        <x:v>C019</x:v>
      </x:c>
      <x:c r="B23" s="2" t="str">
        <x:v>Sample Customer 19</x:v>
      </x:c>
      <x:c r="C23" s="2" t="str">
        <x:v>British Columbia</x:v>
      </x:c>
      <x:c r="D23" s="2" t="str">
        <x:v>Wholesale</x:v>
      </x:c>
      <x:c r="E23" s="2" t="str">
        <x:v>Team 1</x:v>
      </x:c>
    </x:row>
    <x:row r="24" ht="23" customHeight="1">
      <x:c r="A24" s="2" t="str">
        <x:v>C020</x:v>
      </x:c>
      <x:c r="B24" s="2" t="str">
        <x:v>Sample Customer 20</x:v>
      </x:c>
      <x:c r="C24" s="2" t="str">
        <x:v>Alberta</x:v>
      </x:c>
      <x:c r="D24" s="2" t="str">
        <x:v>Wholesale</x:v>
      </x:c>
      <x:c r="E24" s="2" t="str">
        <x:v>Team 2</x:v>
      </x:c>
    </x:row>
    <x:row r="25" ht="23" customHeight="1">
      <x:c r="A25" s="2" t="str">
        <x:v>C021</x:v>
      </x:c>
      <x:c r="B25" s="2" t="str">
        <x:v>Sample Customer 21</x:v>
      </x:c>
      <x:c r="C25" s="2" t="str">
        <x:v>Ontario</x:v>
      </x:c>
      <x:c r="D25" s="2" t="str">
        <x:v>Technology</x:v>
      </x:c>
      <x:c r="E25" s="2" t="str">
        <x:v>Team 3</x:v>
      </x:c>
    </x:row>
    <x:row r="26" ht="23" customHeight="1">
      <x:c r="A26" s="2" t="str">
        <x:v>C022</x:v>
      </x:c>
      <x:c r="B26" s="2" t="str">
        <x:v>Sample Customer 22</x:v>
      </x:c>
      <x:c r="C26" s="2" t="str">
        <x:v>Quebec</x:v>
      </x:c>
      <x:c r="D26" s="2" t="str">
        <x:v>Technology</x:v>
      </x:c>
      <x:c r="E26" s="2" t="str">
        <x:v>Team 1</x:v>
      </x:c>
    </x:row>
    <x:row r="27" ht="23" customHeight="1">
      <x:c r="A27" s="2" t="str">
        <x:v>C023</x:v>
      </x:c>
      <x:c r="B27" s="2" t="str">
        <x:v>Sample Customer 23</x:v>
      </x:c>
      <x:c r="C27" s="2" t="str">
        <x:v>British Columbia</x:v>
      </x:c>
      <x:c r="D27" s="2" t="str">
        <x:v>Technology</x:v>
      </x:c>
      <x:c r="E27" s="2" t="str">
        <x:v>Team 2</x:v>
      </x:c>
    </x:row>
    <x:row r="28" ht="23" customHeight="1">
      <x:c r="A28" s="2" t="str">
        <x:v>C024</x:v>
      </x:c>
      <x:c r="B28" s="2" t="str">
        <x:v>Sample Customer 24</x:v>
      </x:c>
      <x:c r="C28" s="2" t="str">
        <x:v>Alberta</x:v>
      </x:c>
      <x:c r="D28" s="2" t="str">
        <x:v>Technology</x:v>
      </x:c>
      <x:c r="E28" s="2" t="str">
        <x:v>Team 3</x:v>
      </x:c>
    </x:row>
    <x:row r="29" ht="23" customHeight="1">
      <x:c r="A29" s="2" t="str">
        <x:v>C025</x:v>
      </x:c>
      <x:c r="B29" s="2" t="str">
        <x:v>Sample Customer 25</x:v>
      </x:c>
      <x:c r="C29" s="2" t="str">
        <x:v>Ontario</x:v>
      </x:c>
      <x:c r="D29" s="2" t="str">
        <x:v>Manufacturing</x:v>
      </x:c>
      <x:c r="E29" s="2" t="str">
        <x:v>Team 1</x:v>
      </x:c>
    </x:row>
    <x:row r="30" ht="23" customHeight="1">
      <x:c r="A30" s="2" t="str">
        <x:v>C026</x:v>
      </x:c>
      <x:c r="B30" s="2" t="str">
        <x:v>Sample Customer 26</x:v>
      </x:c>
      <x:c r="C30" s="2" t="str">
        <x:v>Quebec</x:v>
      </x:c>
      <x:c r="D30" s="2" t="str">
        <x:v>Manufacturing</x:v>
      </x:c>
      <x:c r="E30" s="2" t="str">
        <x:v>Team 2</x:v>
      </x:c>
    </x:row>
    <x:row r="31" ht="23" customHeight="1">
      <x:c r="A31" s="2" t="str">
        <x:v>C027</x:v>
      </x:c>
      <x:c r="B31" s="2" t="str">
        <x:v>Sample Customer 27</x:v>
      </x:c>
      <x:c r="C31" s="2" t="str">
        <x:v>British Columbia</x:v>
      </x:c>
      <x:c r="D31" s="2" t="str">
        <x:v>Manufacturing</x:v>
      </x:c>
      <x:c r="E31" s="2" t="str">
        <x:v>Team 3</x:v>
      </x:c>
    </x:row>
    <x:row r="32" ht="23" customHeight="1">
      <x:c r="A32" s="2" t="str">
        <x:v>C028</x:v>
      </x:c>
      <x:c r="B32" s="2" t="str">
        <x:v>Sample Customer 28</x:v>
      </x:c>
      <x:c r="C32" s="2" t="str">
        <x:v>Alberta</x:v>
      </x:c>
      <x:c r="D32" s="2" t="str">
        <x:v>Manufacturing</x:v>
      </x:c>
      <x:c r="E32" s="2" t="str">
        <x:v>Team 1</x:v>
      </x:c>
    </x:row>
    <x:row r="33" ht="23" customHeight="1">
      <x:c r="A33" s="2" t="str">
        <x:v>C029</x:v>
      </x:c>
      <x:c r="B33" s="2" t="str">
        <x:v>Sample Customer 29</x:v>
      </x:c>
      <x:c r="C33" s="2" t="str">
        <x:v>Ontario</x:v>
      </x:c>
      <x:c r="D33" s="2" t="str">
        <x:v>Professional Services</x:v>
      </x:c>
      <x:c r="E33" s="2" t="str">
        <x:v>Team 2</x:v>
      </x:c>
    </x:row>
    <x:row r="34" ht="23" customHeight="1">
      <x:c r="A34" s="2" t="str">
        <x:v>C030</x:v>
      </x:c>
      <x:c r="B34" s="2" t="str">
        <x:v>Sample Customer 30</x:v>
      </x:c>
      <x:c r="C34" s="2" t="str">
        <x:v>Quebec</x:v>
      </x:c>
      <x:c r="D34" s="2" t="str">
        <x:v>Professional Services</x:v>
      </x:c>
      <x:c r="E34" s="2" t="str">
        <x:v>Team 3</x:v>
      </x:c>
    </x:row>
    <x:row r="35" ht="23" customHeight="1">
      <x:c r="A35" s="2" t="str">
        <x:v>C031</x:v>
      </x:c>
      <x:c r="B35" s="2" t="str">
        <x:v>Sample Customer 31</x:v>
      </x:c>
      <x:c r="C35" s="2" t="str">
        <x:v>British Columbia</x:v>
      </x:c>
      <x:c r="D35" s="2" t="str">
        <x:v>Professional Services</x:v>
      </x:c>
      <x:c r="E35" s="2" t="str">
        <x:v>Team 1</x:v>
      </x:c>
    </x:row>
    <x:row r="36" ht="23" customHeight="1">
      <x:c r="A36" s="2" t="str">
        <x:v>C032</x:v>
      </x:c>
      <x:c r="B36" s="2" t="str">
        <x:v>Sample Customer 32</x:v>
      </x:c>
      <x:c r="C36" s="2" t="str">
        <x:v>Alberta</x:v>
      </x:c>
      <x:c r="D36" s="2" t="str">
        <x:v>Professional Services</x:v>
      </x:c>
      <x:c r="E36" s="2" t="str">
        <x:v>Team 2</x:v>
      </x:c>
    </x:row>
    <x:row r="37" ht="23" customHeight="1">
      <x:c r="A37" s="2" t="str">
        <x:v>C033</x:v>
      </x:c>
      <x:c r="B37" s="2" t="str">
        <x:v>Sample Customer 33</x:v>
      </x:c>
      <x:c r="C37" s="2" t="str">
        <x:v>Ontario</x:v>
      </x:c>
      <x:c r="D37" s="2" t="str">
        <x:v>Wholesale</x:v>
      </x:c>
      <x:c r="E37" s="2" t="str">
        <x:v>Team 3</x:v>
      </x:c>
    </x:row>
    <x:row r="38" ht="23" customHeight="1">
      <x:c r="A38" s="2" t="str">
        <x:v>C034</x:v>
      </x:c>
      <x:c r="B38" s="2" t="str">
        <x:v>Sample Customer 34</x:v>
      </x:c>
      <x:c r="C38" s="2" t="str">
        <x:v>Quebec</x:v>
      </x:c>
      <x:c r="D38" s="2" t="str">
        <x:v>Wholesale</x:v>
      </x:c>
      <x:c r="E38" s="2" t="str">
        <x:v>Team 1</x:v>
      </x:c>
    </x:row>
    <x:row r="39" ht="23" customHeight="1">
      <x:c r="A39" s="2" t="str">
        <x:v>C035</x:v>
      </x:c>
      <x:c r="B39" s="2" t="str">
        <x:v>Sample Customer 35</x:v>
      </x:c>
      <x:c r="C39" s="2" t="str">
        <x:v>British Columbia</x:v>
      </x:c>
      <x:c r="D39" s="2" t="str">
        <x:v>Wholesale</x:v>
      </x:c>
      <x:c r="E39" s="2" t="str">
        <x:v>Team 2</x:v>
      </x:c>
    </x:row>
    <x:row r="40" ht="23" customHeight="1">
      <x:c r="A40" s="2" t="str">
        <x:v>C036</x:v>
      </x:c>
      <x:c r="B40" s="2" t="str">
        <x:v>Sample Customer 36</x:v>
      </x:c>
      <x:c r="C40" s="2" t="str">
        <x:v>Alberta</x:v>
      </x:c>
      <x:c r="D40" s="2" t="str">
        <x:v>Wholesale</x:v>
      </x:c>
      <x:c r="E40" s="2" t="str">
        <x:v>Team 3</x:v>
      </x:c>
    </x:row>
    <x:row r="41" ht="23" customHeight="1">
      <x:c r="A41" s="2" t="str">
        <x:v>C037</x:v>
      </x:c>
      <x:c r="B41" s="2" t="str">
        <x:v>Sample Customer 37</x:v>
      </x:c>
      <x:c r="C41" s="2" t="str">
        <x:v>Ontario</x:v>
      </x:c>
      <x:c r="D41" s="2" t="str">
        <x:v>Technology</x:v>
      </x:c>
      <x:c r="E41" s="2" t="str">
        <x:v>Team 1</x:v>
      </x:c>
    </x:row>
    <x:row r="42" ht="23" customHeight="1">
      <x:c r="A42" s="2" t="str">
        <x:v>C038</x:v>
      </x:c>
      <x:c r="B42" s="2" t="str">
        <x:v>Sample Customer 38</x:v>
      </x:c>
      <x:c r="C42" s="2" t="str">
        <x:v>Quebec</x:v>
      </x:c>
      <x:c r="D42" s="2" t="str">
        <x:v>Technology</x:v>
      </x:c>
      <x:c r="E42" s="2" t="str">
        <x:v>Team 2</x:v>
      </x:c>
    </x:row>
    <x:row r="43" ht="23" customHeight="1">
      <x:c r="A43" s="2" t="str">
        <x:v>C039</x:v>
      </x:c>
      <x:c r="B43" s="2" t="str">
        <x:v>Sample Customer 39</x:v>
      </x:c>
      <x:c r="C43" s="2" t="str">
        <x:v>British Columbia</x:v>
      </x:c>
      <x:c r="D43" s="2" t="str">
        <x:v>Technology</x:v>
      </x:c>
      <x:c r="E43" s="2" t="str">
        <x:v>Team 3</x:v>
      </x:c>
    </x:row>
    <x:row r="44" ht="23" customHeight="1">
      <x:c r="A44" s="2" t="str">
        <x:v>C040</x:v>
      </x:c>
      <x:c r="B44" s="2" t="str">
        <x:v>Sample Customer 40</x:v>
      </x:c>
      <x:c r="C44" s="2" t="str">
        <x:v>Alberta</x:v>
      </x:c>
      <x:c r="D44" s="2" t="str">
        <x:v>Technology</x:v>
      </x:c>
      <x:c r="E44" s="2" t="str">
        <x:v>Team 1</x:v>
      </x:c>
    </x:row>
  </x:sheetData>
  <x:pageMargins left="0.7" right="0.7" top="0.75" bottom="0.75" header="0.3" footer="0.3"/>
  <x:tableParts count="1">
    <x:tablePart xmlns:r="http://schemas.openxmlformats.org/officeDocument/2006/relationships" r:id="Raceb0816e9844fe4"/>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17" hidden="0" customWidth="1"/>
    <x:col min="3" max="3" width="18" hidden="0" customWidth="1"/>
    <x:col min="4" max="4" width="18" hidden="0" customWidth="1"/>
    <x:col min="5" max="5" width="22" hidden="0" customWidth="1"/>
    <x:col min="6" max="6" width="15" hidden="0" customWidth="1"/>
    <x:col min="7" max="7" width="29" hidden="0" customWidth="1"/>
  </x:cols>
  <x:sheetData>
    <x:row r="1" ht="30" customHeight="1">
      <x:c r="A1" s="3" t="str">
        <x:v>Invoices</x:v>
      </x:c>
      <x:c r="B1" s="2"/>
      <x:c r="C1" s="2"/>
      <x:c r="D1" s="2"/>
      <x:c r="E1" s="2"/>
      <x:c r="F1" s="2"/>
      <x:c r="G1" s="2"/>
    </x:row>
    <x:row r="2" ht="23" customHeight="1">
      <x:c r="A2" s="4" t="str">
        <x:v>Fictional portfolio data generated for this project. All amounts are CAD.</x:v>
      </x:c>
      <x:c r="B2" s="2"/>
      <x:c r="C2" s="2"/>
      <x:c r="D2" s="2"/>
      <x:c r="E2" s="2"/>
      <x:c r="F2" s="2"/>
      <x:c r="G2" s="2"/>
    </x:row>
    <x:row r="3" ht="23" customHeight="1">
      <x:c r="A3" s="5"/>
      <x:c r="B3" s="5"/>
      <x:c r="C3" s="5"/>
      <x:c r="D3" s="5"/>
      <x:c r="E3" s="5"/>
      <x:c r="F3" s="5"/>
      <x:c r="G3" s="5"/>
    </x:row>
    <x:row r="4" ht="34" customHeight="1">
      <x:c r="A4" s="9" t="str">
        <x:v>InvoiceID</x:v>
      </x:c>
      <x:c r="B4" s="9" t="str">
        <x:v>CustomerID</x:v>
      </x:c>
      <x:c r="C4" s="9" t="str">
        <x:v>InvoiceDate</x:v>
      </x:c>
      <x:c r="D4" s="9" t="str">
        <x:v>DueDate</x:v>
      </x:c>
      <x:c r="E4" s="9" t="str">
        <x:v>InvoiceAmountCAD</x:v>
      </x:c>
      <x:c r="F4" s="9" t="str">
        <x:v>Disputed</x:v>
      </x:c>
      <x:c r="G4" s="9" t="str">
        <x:v>DisputeReason</x:v>
      </x:c>
    </x:row>
    <x:row r="5" ht="23" customHeight="1">
      <x:c r="A5" s="2" t="str">
        <x:v>INV00001</x:v>
      </x:c>
      <x:c r="B5" s="2" t="str">
        <x:v>C002</x:v>
      </x:c>
      <x:c r="C5" s="10" t="d">
        <x:v>2026-03-14T00:00:00.000Z</x:v>
      </x:c>
      <x:c r="D5" s="10" t="d">
        <x:v>2026-05-13T00:00:00.000Z</x:v>
      </x:c>
      <x:c r="E5" s="11" t="n">
        <x:v>19776.21</x:v>
      </x:c>
      <x:c r="F5" s="2" t="str">
        <x:v>No</x:v>
      </x:c>
      <x:c r="G5" s="2" t="str"/>
    </x:row>
    <x:row r="6" ht="23" customHeight="1">
      <x:c r="A6" s="2" t="str">
        <x:v>INV00002</x:v>
      </x:c>
      <x:c r="B6" s="2" t="str">
        <x:v>C015</x:v>
      </x:c>
      <x:c r="C6" s="10" t="d">
        <x:v>2026-07-05T00:00:00.000Z</x:v>
      </x:c>
      <x:c r="D6" s="10" t="d">
        <x:v>2026-08-04T00:00:00.000Z</x:v>
      </x:c>
      <x:c r="E6" s="11" t="n">
        <x:v>11804.82</x:v>
      </x:c>
      <x:c r="F6" s="2" t="str">
        <x:v>No</x:v>
      </x:c>
      <x:c r="G6" s="2" t="str"/>
    </x:row>
    <x:row r="7" ht="23" customHeight="1">
      <x:c r="A7" s="2" t="str">
        <x:v>INV00003</x:v>
      </x:c>
      <x:c r="B7" s="2" t="str">
        <x:v>C020</x:v>
      </x:c>
      <x:c r="C7" s="10" t="d">
        <x:v>2026-03-22T00:00:00.000Z</x:v>
      </x:c>
      <x:c r="D7" s="10" t="d">
        <x:v>2026-05-21T00:00:00.000Z</x:v>
      </x:c>
      <x:c r="E7" s="11" t="n">
        <x:v>7488.38</x:v>
      </x:c>
      <x:c r="F7" s="2" t="str">
        <x:v>No</x:v>
      </x:c>
      <x:c r="G7" s="2" t="str"/>
    </x:row>
    <x:row r="8" ht="23" customHeight="1">
      <x:c r="A8" s="2" t="str">
        <x:v>INV00004</x:v>
      </x:c>
      <x:c r="B8" s="2" t="str">
        <x:v>C014</x:v>
      </x:c>
      <x:c r="C8" s="10" t="d">
        <x:v>2026-06-28T00:00:00.000Z</x:v>
      </x:c>
      <x:c r="D8" s="10" t="d">
        <x:v>2026-08-12T00:00:00.000Z</x:v>
      </x:c>
      <x:c r="E8" s="11" t="n">
        <x:v>7960.63</x:v>
      </x:c>
      <x:c r="F8" s="2" t="str">
        <x:v>No</x:v>
      </x:c>
      <x:c r="G8" s="2" t="str"/>
    </x:row>
    <x:row r="9" ht="23" customHeight="1">
      <x:c r="A9" s="2" t="str">
        <x:v>INV00005</x:v>
      </x:c>
      <x:c r="B9" s="2" t="str">
        <x:v>C026</x:v>
      </x:c>
      <x:c r="C9" s="10" t="d">
        <x:v>2026-01-02T00:00:00.000Z</x:v>
      </x:c>
      <x:c r="D9" s="10" t="d">
        <x:v>2026-01-17T00:00:00.000Z</x:v>
      </x:c>
      <x:c r="E9" s="11" t="n">
        <x:v>12226.53</x:v>
      </x:c>
      <x:c r="F9" s="2" t="str">
        <x:v>No</x:v>
      </x:c>
      <x:c r="G9" s="2" t="str"/>
    </x:row>
    <x:row r="10" ht="23" customHeight="1">
      <x:c r="A10" s="2" t="str">
        <x:v>INV00006</x:v>
      </x:c>
      <x:c r="B10" s="2" t="str">
        <x:v>C029</x:v>
      </x:c>
      <x:c r="C10" s="10" t="d">
        <x:v>2026-09-26T00:00:00.000Z</x:v>
      </x:c>
      <x:c r="D10" s="10" t="d">
        <x:v>2026-11-10T00:00:00.000Z</x:v>
      </x:c>
      <x:c r="E10" s="11" t="n">
        <x:v>10933.43</x:v>
      </x:c>
      <x:c r="F10" s="2" t="str">
        <x:v>No</x:v>
      </x:c>
      <x:c r="G10" s="2" t="str"/>
    </x:row>
    <x:row r="11" ht="23" customHeight="1">
      <x:c r="A11" s="2" t="str">
        <x:v>INV00007</x:v>
      </x:c>
      <x:c r="B11" s="2" t="str">
        <x:v>C039</x:v>
      </x:c>
      <x:c r="C11" s="10" t="d">
        <x:v>2026-05-20T00:00:00.000Z</x:v>
      </x:c>
      <x:c r="D11" s="10" t="d">
        <x:v>2026-06-19T00:00:00.000Z</x:v>
      </x:c>
      <x:c r="E11" s="11" t="n">
        <x:v>4517.46</x:v>
      </x:c>
      <x:c r="F11" s="2" t="str">
        <x:v>No</x:v>
      </x:c>
      <x:c r="G11" s="2" t="str"/>
    </x:row>
    <x:row r="12" ht="23" customHeight="1">
      <x:c r="A12" s="2" t="str">
        <x:v>INV00008</x:v>
      </x:c>
      <x:c r="B12" s="2" t="str">
        <x:v>C007</x:v>
      </x:c>
      <x:c r="C12" s="10" t="d">
        <x:v>2026-09-08T00:00:00.000Z</x:v>
      </x:c>
      <x:c r="D12" s="10" t="d">
        <x:v>2026-10-08T00:00:00.000Z</x:v>
      </x:c>
      <x:c r="E12" s="11" t="n">
        <x:v>11739.7</x:v>
      </x:c>
      <x:c r="F12" s="2" t="str">
        <x:v>No</x:v>
      </x:c>
      <x:c r="G12" s="2" t="str"/>
    </x:row>
    <x:row r="13" ht="23" customHeight="1">
      <x:c r="A13" s="2" t="str">
        <x:v>INV00009</x:v>
      </x:c>
      <x:c r="B13" s="2" t="str">
        <x:v>C011</x:v>
      </x:c>
      <x:c r="C13" s="10" t="d">
        <x:v>2026-09-02T00:00:00.000Z</x:v>
      </x:c>
      <x:c r="D13" s="10" t="d">
        <x:v>2026-11-01T00:00:00.000Z</x:v>
      </x:c>
      <x:c r="E13" s="11" t="n">
        <x:v>3752.08</x:v>
      </x:c>
      <x:c r="F13" s="2" t="str">
        <x:v>No</x:v>
      </x:c>
      <x:c r="G13" s="2" t="str"/>
    </x:row>
    <x:row r="14" ht="23" customHeight="1">
      <x:c r="A14" s="2" t="str">
        <x:v>INV00010</x:v>
      </x:c>
      <x:c r="B14" s="2" t="str">
        <x:v>C033</x:v>
      </x:c>
      <x:c r="C14" s="10" t="d">
        <x:v>2026-09-27T00:00:00.000Z</x:v>
      </x:c>
      <x:c r="D14" s="10" t="d">
        <x:v>2026-10-27T00:00:00.000Z</x:v>
      </x:c>
      <x:c r="E14" s="11" t="n">
        <x:v>6223.08</x:v>
      </x:c>
      <x:c r="F14" s="2" t="str">
        <x:v>No</x:v>
      </x:c>
      <x:c r="G14" s="2" t="str"/>
    </x:row>
    <x:row r="15" ht="23" customHeight="1">
      <x:c r="A15" s="2" t="str">
        <x:v>INV00011</x:v>
      </x:c>
      <x:c r="B15" s="2" t="str">
        <x:v>C010</x:v>
      </x:c>
      <x:c r="C15" s="10" t="d">
        <x:v>2026-01-13T00:00:00.000Z</x:v>
      </x:c>
      <x:c r="D15" s="10" t="d">
        <x:v>2026-02-12T00:00:00.000Z</x:v>
      </x:c>
      <x:c r="E15" s="11" t="n">
        <x:v>19400.15</x:v>
      </x:c>
      <x:c r="F15" s="2" t="str">
        <x:v>No</x:v>
      </x:c>
      <x:c r="G15" s="2" t="str"/>
    </x:row>
    <x:row r="16" ht="23" customHeight="1">
      <x:c r="A16" s="2" t="str">
        <x:v>INV00012</x:v>
      </x:c>
      <x:c r="B16" s="2" t="str">
        <x:v>C021</x:v>
      </x:c>
      <x:c r="C16" s="10" t="d">
        <x:v>2026-01-18T00:00:00.000Z</x:v>
      </x:c>
      <x:c r="D16" s="10" t="d">
        <x:v>2026-02-17T00:00:00.000Z</x:v>
      </x:c>
      <x:c r="E16" s="11" t="n">
        <x:v>5877.42</x:v>
      </x:c>
      <x:c r="F16" s="2" t="str">
        <x:v>No</x:v>
      </x:c>
      <x:c r="G16" s="2" t="str"/>
    </x:row>
    <x:row r="17" ht="23" customHeight="1">
      <x:c r="A17" s="2" t="str">
        <x:v>INV00013</x:v>
      </x:c>
      <x:c r="B17" s="2" t="str">
        <x:v>C016</x:v>
      </x:c>
      <x:c r="C17" s="10" t="d">
        <x:v>2026-07-23T00:00:00.000Z</x:v>
      </x:c>
      <x:c r="D17" s="10" t="d">
        <x:v>2026-09-06T00:00:00.000Z</x:v>
      </x:c>
      <x:c r="E17" s="11" t="n">
        <x:v>3258.01</x:v>
      </x:c>
      <x:c r="F17" s="2" t="str">
        <x:v>No</x:v>
      </x:c>
      <x:c r="G17" s="2" t="str"/>
    </x:row>
    <x:row r="18" ht="23" customHeight="1">
      <x:c r="A18" s="2" t="str">
        <x:v>INV00014</x:v>
      </x:c>
      <x:c r="B18" s="2" t="str">
        <x:v>C003</x:v>
      </x:c>
      <x:c r="C18" s="10" t="d">
        <x:v>2026-05-20T00:00:00.000Z</x:v>
      </x:c>
      <x:c r="D18" s="10" t="d">
        <x:v>2026-06-04T00:00:00.000Z</x:v>
      </x:c>
      <x:c r="E18" s="11" t="n">
        <x:v>3311.22</x:v>
      </x:c>
      <x:c r="F18" s="2" t="str">
        <x:v>No</x:v>
      </x:c>
      <x:c r="G18" s="2" t="str"/>
    </x:row>
    <x:row r="19" ht="23" customHeight="1">
      <x:c r="A19" s="2" t="str">
        <x:v>INV00015</x:v>
      </x:c>
      <x:c r="B19" s="2" t="str">
        <x:v>C029</x:v>
      </x:c>
      <x:c r="C19" s="10" t="d">
        <x:v>2026-05-01T00:00:00.000Z</x:v>
      </x:c>
      <x:c r="D19" s="10" t="d">
        <x:v>2026-06-15T00:00:00.000Z</x:v>
      </x:c>
      <x:c r="E19" s="11" t="n">
        <x:v>3930.89</x:v>
      </x:c>
      <x:c r="F19" s="2" t="str">
        <x:v>No</x:v>
      </x:c>
      <x:c r="G19" s="2" t="str"/>
    </x:row>
    <x:row r="20" ht="23" customHeight="1">
      <x:c r="A20" s="2" t="str">
        <x:v>INV00016</x:v>
      </x:c>
      <x:c r="B20" s="2" t="str">
        <x:v>C015</x:v>
      </x:c>
      <x:c r="C20" s="10" t="d">
        <x:v>2026-05-23T00:00:00.000Z</x:v>
      </x:c>
      <x:c r="D20" s="10" t="d">
        <x:v>2026-06-22T00:00:00.000Z</x:v>
      </x:c>
      <x:c r="E20" s="11" t="n">
        <x:v>15228.22</x:v>
      </x:c>
      <x:c r="F20" s="2" t="str">
        <x:v>No</x:v>
      </x:c>
      <x:c r="G20" s="2" t="str"/>
    </x:row>
    <x:row r="21" ht="23" customHeight="1">
      <x:c r="A21" s="2" t="str">
        <x:v>INV00017</x:v>
      </x:c>
      <x:c r="B21" s="2" t="str">
        <x:v>C010</x:v>
      </x:c>
      <x:c r="C21" s="10" t="d">
        <x:v>2026-07-30T00:00:00.000Z</x:v>
      </x:c>
      <x:c r="D21" s="10" t="d">
        <x:v>2026-08-29T00:00:00.000Z</x:v>
      </x:c>
      <x:c r="E21" s="11" t="n">
        <x:v>14153.93</x:v>
      </x:c>
      <x:c r="F21" s="2" t="str">
        <x:v>No</x:v>
      </x:c>
      <x:c r="G21" s="2" t="str"/>
    </x:row>
    <x:row r="22" ht="23" customHeight="1">
      <x:c r="A22" s="2" t="str">
        <x:v>INV00018</x:v>
      </x:c>
      <x:c r="B22" s="2" t="str">
        <x:v>C020</x:v>
      </x:c>
      <x:c r="C22" s="10" t="d">
        <x:v>2026-09-25T00:00:00.000Z</x:v>
      </x:c>
      <x:c r="D22" s="10" t="d">
        <x:v>2026-11-09T00:00:00.000Z</x:v>
      </x:c>
      <x:c r="E22" s="11" t="n">
        <x:v>12919.1</x:v>
      </x:c>
      <x:c r="F22" s="2" t="str">
        <x:v>No</x:v>
      </x:c>
      <x:c r="G22" s="2" t="str"/>
    </x:row>
    <x:row r="23" ht="23" customHeight="1">
      <x:c r="A23" s="2" t="str">
        <x:v>INV00019</x:v>
      </x:c>
      <x:c r="B23" s="2" t="str">
        <x:v>C033</x:v>
      </x:c>
      <x:c r="C23" s="10" t="d">
        <x:v>2026-06-03T00:00:00.000Z</x:v>
      </x:c>
      <x:c r="D23" s="10" t="d">
        <x:v>2026-06-18T00:00:00.000Z</x:v>
      </x:c>
      <x:c r="E23" s="11" t="n">
        <x:v>13595.52</x:v>
      </x:c>
      <x:c r="F23" s="2" t="str">
        <x:v>No</x:v>
      </x:c>
      <x:c r="G23" s="2" t="str"/>
    </x:row>
    <x:row r="24" ht="23" customHeight="1">
      <x:c r="A24" s="2" t="str">
        <x:v>INV00020</x:v>
      </x:c>
      <x:c r="B24" s="2" t="str">
        <x:v>C014</x:v>
      </x:c>
      <x:c r="C24" s="10" t="d">
        <x:v>2026-05-01T00:00:00.000Z</x:v>
      </x:c>
      <x:c r="D24" s="10" t="d">
        <x:v>2026-06-30T00:00:00.000Z</x:v>
      </x:c>
      <x:c r="E24" s="11" t="n">
        <x:v>637.61</x:v>
      </x:c>
      <x:c r="F24" s="2" t="str">
        <x:v>No</x:v>
      </x:c>
      <x:c r="G24" s="2" t="str"/>
    </x:row>
    <x:row r="25" ht="23" customHeight="1">
      <x:c r="A25" s="2" t="str">
        <x:v>INV00021</x:v>
      </x:c>
      <x:c r="B25" s="2" t="str">
        <x:v>C032</x:v>
      </x:c>
      <x:c r="C25" s="10" t="d">
        <x:v>2026-04-17T00:00:00.000Z</x:v>
      </x:c>
      <x:c r="D25" s="10" t="d">
        <x:v>2026-06-16T00:00:00.000Z</x:v>
      </x:c>
      <x:c r="E25" s="11" t="n">
        <x:v>4007.63</x:v>
      </x:c>
      <x:c r="F25" s="2" t="str">
        <x:v>No</x:v>
      </x:c>
      <x:c r="G25" s="2" t="str"/>
    </x:row>
    <x:row r="26" ht="23" customHeight="1">
      <x:c r="A26" s="2" t="str">
        <x:v>INV00022</x:v>
      </x:c>
      <x:c r="B26" s="2" t="str">
        <x:v>C015</x:v>
      </x:c>
      <x:c r="C26" s="10" t="d">
        <x:v>2026-08-23T00:00:00.000Z</x:v>
      </x:c>
      <x:c r="D26" s="10" t="d">
        <x:v>2026-10-07T00:00:00.000Z</x:v>
      </x:c>
      <x:c r="E26" s="11" t="n">
        <x:v>18849.44</x:v>
      </x:c>
      <x:c r="F26" s="2" t="str">
        <x:v>No</x:v>
      </x:c>
      <x:c r="G26" s="2" t="str"/>
    </x:row>
    <x:row r="27" ht="23" customHeight="1">
      <x:c r="A27" s="2" t="str">
        <x:v>INV00023</x:v>
      </x:c>
      <x:c r="B27" s="2" t="str">
        <x:v>C037</x:v>
      </x:c>
      <x:c r="C27" s="10" t="d">
        <x:v>2026-08-28T00:00:00.000Z</x:v>
      </x:c>
      <x:c r="D27" s="10" t="d">
        <x:v>2026-09-27T00:00:00.000Z</x:v>
      </x:c>
      <x:c r="E27" s="11" t="n">
        <x:v>10456.67</x:v>
      </x:c>
      <x:c r="F27" s="2" t="str">
        <x:v>No</x:v>
      </x:c>
      <x:c r="G27" s="2" t="str"/>
    </x:row>
    <x:row r="28" ht="23" customHeight="1">
      <x:c r="A28" s="2" t="str">
        <x:v>INV00024</x:v>
      </x:c>
      <x:c r="B28" s="2" t="str">
        <x:v>C024</x:v>
      </x:c>
      <x:c r="C28" s="10" t="d">
        <x:v>2026-06-29T00:00:00.000Z</x:v>
      </x:c>
      <x:c r="D28" s="10" t="d">
        <x:v>2026-07-29T00:00:00.000Z</x:v>
      </x:c>
      <x:c r="E28" s="11" t="n">
        <x:v>15601.39</x:v>
      </x:c>
      <x:c r="F28" s="2" t="str">
        <x:v>Yes</x:v>
      </x:c>
      <x:c r="G28" s="2" t="str">
        <x:v>Service acceptance pending</x:v>
      </x:c>
    </x:row>
    <x:row r="29" ht="23" customHeight="1">
      <x:c r="A29" s="2" t="str">
        <x:v>INV00025</x:v>
      </x:c>
      <x:c r="B29" s="2" t="str">
        <x:v>C034</x:v>
      </x:c>
      <x:c r="C29" s="10" t="d">
        <x:v>2026-08-26T00:00:00.000Z</x:v>
      </x:c>
      <x:c r="D29" s="10" t="d">
        <x:v>2026-09-10T00:00:00.000Z</x:v>
      </x:c>
      <x:c r="E29" s="11" t="n">
        <x:v>3366.88</x:v>
      </x:c>
      <x:c r="F29" s="2" t="str">
        <x:v>No</x:v>
      </x:c>
      <x:c r="G29" s="2" t="str"/>
    </x:row>
    <x:row r="30" ht="23" customHeight="1">
      <x:c r="A30" s="2" t="str">
        <x:v>INV00026</x:v>
      </x:c>
      <x:c r="B30" s="2" t="str">
        <x:v>C009</x:v>
      </x:c>
      <x:c r="C30" s="10" t="d">
        <x:v>2026-09-21T00:00:00.000Z</x:v>
      </x:c>
      <x:c r="D30" s="10" t="d">
        <x:v>2026-11-20T00:00:00.000Z</x:v>
      </x:c>
      <x:c r="E30" s="11" t="n">
        <x:v>19476.45</x:v>
      </x:c>
      <x:c r="F30" s="2" t="str">
        <x:v>No</x:v>
      </x:c>
      <x:c r="G30" s="2" t="str"/>
    </x:row>
    <x:row r="31" ht="23" customHeight="1">
      <x:c r="A31" s="2" t="str">
        <x:v>INV00027</x:v>
      </x:c>
      <x:c r="B31" s="2" t="str">
        <x:v>C029</x:v>
      </x:c>
      <x:c r="C31" s="10" t="d">
        <x:v>2026-04-29T00:00:00.000Z</x:v>
      </x:c>
      <x:c r="D31" s="10" t="d">
        <x:v>2026-06-28T00:00:00.000Z</x:v>
      </x:c>
      <x:c r="E31" s="11" t="n">
        <x:v>10450.33</x:v>
      </x:c>
      <x:c r="F31" s="2" t="str">
        <x:v>Yes</x:v>
      </x:c>
      <x:c r="G31" s="2" t="str">
        <x:v>Pricing query</x:v>
      </x:c>
    </x:row>
    <x:row r="32" ht="23" customHeight="1">
      <x:c r="A32" s="2" t="str">
        <x:v>INV00028</x:v>
      </x:c>
      <x:c r="B32" s="2" t="str">
        <x:v>C007</x:v>
      </x:c>
      <x:c r="C32" s="10" t="d">
        <x:v>2026-03-04T00:00:00.000Z</x:v>
      </x:c>
      <x:c r="D32" s="10" t="d">
        <x:v>2026-04-03T00:00:00.000Z</x:v>
      </x:c>
      <x:c r="E32" s="11" t="n">
        <x:v>11289.4</x:v>
      </x:c>
      <x:c r="F32" s="2" t="str">
        <x:v>No</x:v>
      </x:c>
      <x:c r="G32" s="2" t="str"/>
    </x:row>
    <x:row r="33" ht="23" customHeight="1">
      <x:c r="A33" s="2" t="str">
        <x:v>INV00029</x:v>
      </x:c>
      <x:c r="B33" s="2" t="str">
        <x:v>C021</x:v>
      </x:c>
      <x:c r="C33" s="10" t="d">
        <x:v>2026-01-05T00:00:00.000Z</x:v>
      </x:c>
      <x:c r="D33" s="10" t="d">
        <x:v>2026-02-04T00:00:00.000Z</x:v>
      </x:c>
      <x:c r="E33" s="11" t="n">
        <x:v>4205.66</x:v>
      </x:c>
      <x:c r="F33" s="2" t="str">
        <x:v>No</x:v>
      </x:c>
      <x:c r="G33" s="2" t="str"/>
    </x:row>
    <x:row r="34" ht="23" customHeight="1">
      <x:c r="A34" s="2" t="str">
        <x:v>INV00030</x:v>
      </x:c>
      <x:c r="B34" s="2" t="str">
        <x:v>C009</x:v>
      </x:c>
      <x:c r="C34" s="10" t="d">
        <x:v>2026-08-22T00:00:00.000Z</x:v>
      </x:c>
      <x:c r="D34" s="10" t="d">
        <x:v>2026-10-06T00:00:00.000Z</x:v>
      </x:c>
      <x:c r="E34" s="11" t="n">
        <x:v>8921.45</x:v>
      </x:c>
      <x:c r="F34" s="2" t="str">
        <x:v>Yes</x:v>
      </x:c>
      <x:c r="G34" s="2" t="str">
        <x:v>Pricing query</x:v>
      </x:c>
    </x:row>
    <x:row r="35" ht="23" customHeight="1">
      <x:c r="A35" s="2" t="str">
        <x:v>INV00031</x:v>
      </x:c>
      <x:c r="B35" s="2" t="str">
        <x:v>C001</x:v>
      </x:c>
      <x:c r="C35" s="10" t="d">
        <x:v>2026-01-05T00:00:00.000Z</x:v>
      </x:c>
      <x:c r="D35" s="10" t="d">
        <x:v>2026-02-04T00:00:00.000Z</x:v>
      </x:c>
      <x:c r="E35" s="11" t="n">
        <x:v>5349.48</x:v>
      </x:c>
      <x:c r="F35" s="2" t="str">
        <x:v>No</x:v>
      </x:c>
      <x:c r="G35" s="2" t="str"/>
    </x:row>
    <x:row r="36" ht="23" customHeight="1">
      <x:c r="A36" s="2" t="str">
        <x:v>INV00032</x:v>
      </x:c>
      <x:c r="B36" s="2" t="str">
        <x:v>C040</x:v>
      </x:c>
      <x:c r="C36" s="10" t="d">
        <x:v>2026-07-12T00:00:00.000Z</x:v>
      </x:c>
      <x:c r="D36" s="10" t="d">
        <x:v>2026-07-27T00:00:00.000Z</x:v>
      </x:c>
      <x:c r="E36" s="11" t="n">
        <x:v>2379.18</x:v>
      </x:c>
      <x:c r="F36" s="2" t="str">
        <x:v>No</x:v>
      </x:c>
      <x:c r="G36" s="2" t="str"/>
    </x:row>
    <x:row r="37" ht="23" customHeight="1">
      <x:c r="A37" s="2" t="str">
        <x:v>INV00033</x:v>
      </x:c>
      <x:c r="B37" s="2" t="str">
        <x:v>C016</x:v>
      </x:c>
      <x:c r="C37" s="10" t="d">
        <x:v>2026-09-02T00:00:00.000Z</x:v>
      </x:c>
      <x:c r="D37" s="10" t="d">
        <x:v>2026-10-02T00:00:00.000Z</x:v>
      </x:c>
      <x:c r="E37" s="11" t="n">
        <x:v>14195.28</x:v>
      </x:c>
      <x:c r="F37" s="2" t="str">
        <x:v>No</x:v>
      </x:c>
      <x:c r="G37" s="2" t="str"/>
    </x:row>
    <x:row r="38" ht="23" customHeight="1">
      <x:c r="A38" s="2" t="str">
        <x:v>INV00034</x:v>
      </x:c>
      <x:c r="B38" s="2" t="str">
        <x:v>C026</x:v>
      </x:c>
      <x:c r="C38" s="10" t="d">
        <x:v>2026-05-22T00:00:00.000Z</x:v>
      </x:c>
      <x:c r="D38" s="10" t="d">
        <x:v>2026-06-21T00:00:00.000Z</x:v>
      </x:c>
      <x:c r="E38" s="11" t="n">
        <x:v>12405.47</x:v>
      </x:c>
      <x:c r="F38" s="2" t="str">
        <x:v>No</x:v>
      </x:c>
      <x:c r="G38" s="2" t="str"/>
    </x:row>
    <x:row r="39" ht="23" customHeight="1">
      <x:c r="A39" s="2" t="str">
        <x:v>INV00035</x:v>
      </x:c>
      <x:c r="B39" s="2" t="str">
        <x:v>C036</x:v>
      </x:c>
      <x:c r="C39" s="10" t="d">
        <x:v>2026-04-12T00:00:00.000Z</x:v>
      </x:c>
      <x:c r="D39" s="10" t="d">
        <x:v>2026-06-11T00:00:00.000Z</x:v>
      </x:c>
      <x:c r="E39" s="11" t="n">
        <x:v>15583.97</x:v>
      </x:c>
      <x:c r="F39" s="2" t="str">
        <x:v>No</x:v>
      </x:c>
      <x:c r="G39" s="2" t="str"/>
    </x:row>
    <x:row r="40" ht="23" customHeight="1">
      <x:c r="A40" s="2" t="str">
        <x:v>INV00036</x:v>
      </x:c>
      <x:c r="B40" s="2" t="str">
        <x:v>C024</x:v>
      </x:c>
      <x:c r="C40" s="10" t="d">
        <x:v>2026-05-11T00:00:00.000Z</x:v>
      </x:c>
      <x:c r="D40" s="10" t="d">
        <x:v>2026-06-10T00:00:00.000Z</x:v>
      </x:c>
      <x:c r="E40" s="11" t="n">
        <x:v>8360.22</x:v>
      </x:c>
      <x:c r="F40" s="2" t="str">
        <x:v>No</x:v>
      </x:c>
      <x:c r="G40" s="2" t="str"/>
    </x:row>
    <x:row r="41" ht="23" customHeight="1">
      <x:c r="A41" s="2" t="str">
        <x:v>INV00037</x:v>
      </x:c>
      <x:c r="B41" s="2" t="str">
        <x:v>C020</x:v>
      </x:c>
      <x:c r="C41" s="10" t="d">
        <x:v>2026-09-05T00:00:00.000Z</x:v>
      </x:c>
      <x:c r="D41" s="10" t="d">
        <x:v>2026-10-20T00:00:00.000Z</x:v>
      </x:c>
      <x:c r="E41" s="11" t="n">
        <x:v>4929.61</x:v>
      </x:c>
      <x:c r="F41" s="2" t="str">
        <x:v>No</x:v>
      </x:c>
      <x:c r="G41" s="2" t="str"/>
    </x:row>
    <x:row r="42" ht="23" customHeight="1">
      <x:c r="A42" s="2" t="str">
        <x:v>INV00038</x:v>
      </x:c>
      <x:c r="B42" s="2" t="str">
        <x:v>C037</x:v>
      </x:c>
      <x:c r="C42" s="10" t="d">
        <x:v>2026-05-22T00:00:00.000Z</x:v>
      </x:c>
      <x:c r="D42" s="10" t="d">
        <x:v>2026-06-21T00:00:00.000Z</x:v>
      </x:c>
      <x:c r="E42" s="11" t="n">
        <x:v>16731.79</x:v>
      </x:c>
      <x:c r="F42" s="2" t="str">
        <x:v>No</x:v>
      </x:c>
      <x:c r="G42" s="2" t="str"/>
    </x:row>
    <x:row r="43" ht="23" customHeight="1">
      <x:c r="A43" s="2" t="str">
        <x:v>INV00039</x:v>
      </x:c>
      <x:c r="B43" s="2" t="str">
        <x:v>C022</x:v>
      </x:c>
      <x:c r="C43" s="10" t="d">
        <x:v>2026-03-15T00:00:00.000Z</x:v>
      </x:c>
      <x:c r="D43" s="10" t="d">
        <x:v>2026-04-14T00:00:00.000Z</x:v>
      </x:c>
      <x:c r="E43" s="11" t="n">
        <x:v>17645.4</x:v>
      </x:c>
      <x:c r="F43" s="2" t="str">
        <x:v>No</x:v>
      </x:c>
      <x:c r="G43" s="2" t="str"/>
    </x:row>
    <x:row r="44" ht="23" customHeight="1">
      <x:c r="A44" s="2" t="str">
        <x:v>INV00040</x:v>
      </x:c>
      <x:c r="B44" s="2" t="str">
        <x:v>C002</x:v>
      </x:c>
      <x:c r="C44" s="10" t="d">
        <x:v>2026-08-10T00:00:00.000Z</x:v>
      </x:c>
      <x:c r="D44" s="10" t="d">
        <x:v>2026-08-25T00:00:00.000Z</x:v>
      </x:c>
      <x:c r="E44" s="11" t="n">
        <x:v>11141.11</x:v>
      </x:c>
      <x:c r="F44" s="2" t="str">
        <x:v>No</x:v>
      </x:c>
      <x:c r="G44" s="2" t="str"/>
    </x:row>
    <x:row r="45" ht="23" customHeight="1">
      <x:c r="A45" s="2" t="str">
        <x:v>INV00041</x:v>
      </x:c>
      <x:c r="B45" s="2" t="str">
        <x:v>C036</x:v>
      </x:c>
      <x:c r="C45" s="10" t="d">
        <x:v>2026-03-03T00:00:00.000Z</x:v>
      </x:c>
      <x:c r="D45" s="10" t="d">
        <x:v>2026-04-02T00:00:00.000Z</x:v>
      </x:c>
      <x:c r="E45" s="11" t="n">
        <x:v>7433.95</x:v>
      </x:c>
      <x:c r="F45" s="2" t="str">
        <x:v>No</x:v>
      </x:c>
      <x:c r="G45" s="2" t="str"/>
    </x:row>
    <x:row r="46" ht="23" customHeight="1">
      <x:c r="A46" s="2" t="str">
        <x:v>INV00042</x:v>
      </x:c>
      <x:c r="B46" s="2" t="str">
        <x:v>C024</x:v>
      </x:c>
      <x:c r="C46" s="10" t="d">
        <x:v>2026-08-11T00:00:00.000Z</x:v>
      </x:c>
      <x:c r="D46" s="10" t="d">
        <x:v>2026-09-10T00:00:00.000Z</x:v>
      </x:c>
      <x:c r="E46" s="11" t="n">
        <x:v>9642.1</x:v>
      </x:c>
      <x:c r="F46" s="2" t="str">
        <x:v>No</x:v>
      </x:c>
      <x:c r="G46" s="2" t="str"/>
    </x:row>
    <x:row r="47" ht="23" customHeight="1">
      <x:c r="A47" s="2" t="str">
        <x:v>INV00043</x:v>
      </x:c>
      <x:c r="B47" s="2" t="str">
        <x:v>C025</x:v>
      </x:c>
      <x:c r="C47" s="10" t="d">
        <x:v>2026-09-21T00:00:00.000Z</x:v>
      </x:c>
      <x:c r="D47" s="10" t="d">
        <x:v>2026-10-21T00:00:00.000Z</x:v>
      </x:c>
      <x:c r="E47" s="11" t="n">
        <x:v>2687.74</x:v>
      </x:c>
      <x:c r="F47" s="2" t="str">
        <x:v>No</x:v>
      </x:c>
      <x:c r="G47" s="2" t="str"/>
    </x:row>
    <x:row r="48" ht="23" customHeight="1">
      <x:c r="A48" s="2" t="str">
        <x:v>INV00044</x:v>
      </x:c>
      <x:c r="B48" s="2" t="str">
        <x:v>C030</x:v>
      </x:c>
      <x:c r="C48" s="10" t="d">
        <x:v>2026-04-01T00:00:00.000Z</x:v>
      </x:c>
      <x:c r="D48" s="10" t="d">
        <x:v>2026-05-01T00:00:00.000Z</x:v>
      </x:c>
      <x:c r="E48" s="11" t="n">
        <x:v>6997.42</x:v>
      </x:c>
      <x:c r="F48" s="2" t="str">
        <x:v>No</x:v>
      </x:c>
      <x:c r="G48" s="2" t="str"/>
    </x:row>
    <x:row r="49" ht="23" customHeight="1">
      <x:c r="A49" s="2" t="str">
        <x:v>INV00045</x:v>
      </x:c>
      <x:c r="B49" s="2" t="str">
        <x:v>C016</x:v>
      </x:c>
      <x:c r="C49" s="10" t="d">
        <x:v>2026-02-23T00:00:00.000Z</x:v>
      </x:c>
      <x:c r="D49" s="10" t="d">
        <x:v>2026-03-25T00:00:00.000Z</x:v>
      </x:c>
      <x:c r="E49" s="11" t="n">
        <x:v>12339.29</x:v>
      </x:c>
      <x:c r="F49" s="2" t="str">
        <x:v>No</x:v>
      </x:c>
      <x:c r="G49" s="2" t="str"/>
    </x:row>
    <x:row r="50" ht="23" customHeight="1">
      <x:c r="A50" s="2" t="str">
        <x:v>INV00046</x:v>
      </x:c>
      <x:c r="B50" s="2" t="str">
        <x:v>C005</x:v>
      </x:c>
      <x:c r="C50" s="10" t="d">
        <x:v>2026-08-13T00:00:00.000Z</x:v>
      </x:c>
      <x:c r="D50" s="10" t="d">
        <x:v>2026-09-27T00:00:00.000Z</x:v>
      </x:c>
      <x:c r="E50" s="11" t="n">
        <x:v>19801.11</x:v>
      </x:c>
      <x:c r="F50" s="2" t="str">
        <x:v>No</x:v>
      </x:c>
      <x:c r="G50" s="2" t="str"/>
    </x:row>
    <x:row r="51" ht="23" customHeight="1">
      <x:c r="A51" s="2" t="str">
        <x:v>INV00047</x:v>
      </x:c>
      <x:c r="B51" s="2" t="str">
        <x:v>C022</x:v>
      </x:c>
      <x:c r="C51" s="10" t="d">
        <x:v>2026-05-21T00:00:00.000Z</x:v>
      </x:c>
      <x:c r="D51" s="10" t="d">
        <x:v>2026-06-20T00:00:00.000Z</x:v>
      </x:c>
      <x:c r="E51" s="11" t="n">
        <x:v>12314.56</x:v>
      </x:c>
      <x:c r="F51" s="2" t="str">
        <x:v>No</x:v>
      </x:c>
      <x:c r="G51" s="2" t="str"/>
    </x:row>
    <x:row r="52" ht="23" customHeight="1">
      <x:c r="A52" s="2" t="str">
        <x:v>INV00048</x:v>
      </x:c>
      <x:c r="B52" s="2" t="str">
        <x:v>C036</x:v>
      </x:c>
      <x:c r="C52" s="10" t="d">
        <x:v>2026-07-06T00:00:00.000Z</x:v>
      </x:c>
      <x:c r="D52" s="10" t="d">
        <x:v>2026-09-04T00:00:00.000Z</x:v>
      </x:c>
      <x:c r="E52" s="11" t="n">
        <x:v>12215.76</x:v>
      </x:c>
      <x:c r="F52" s="2" t="str">
        <x:v>No</x:v>
      </x:c>
      <x:c r="G52" s="2" t="str"/>
    </x:row>
    <x:row r="53" ht="23" customHeight="1">
      <x:c r="A53" s="2" t="str">
        <x:v>INV00049</x:v>
      </x:c>
      <x:c r="B53" s="2" t="str">
        <x:v>C008</x:v>
      </x:c>
      <x:c r="C53" s="10" t="d">
        <x:v>2026-06-10T00:00:00.000Z</x:v>
      </x:c>
      <x:c r="D53" s="10" t="d">
        <x:v>2026-07-10T00:00:00.000Z</x:v>
      </x:c>
      <x:c r="E53" s="11" t="n">
        <x:v>6316.63</x:v>
      </x:c>
      <x:c r="F53" s="2" t="str">
        <x:v>No</x:v>
      </x:c>
      <x:c r="G53" s="2" t="str"/>
    </x:row>
    <x:row r="54" ht="23" customHeight="1">
      <x:c r="A54" s="2" t="str">
        <x:v>INV00050</x:v>
      </x:c>
      <x:c r="B54" s="2" t="str">
        <x:v>C025</x:v>
      </x:c>
      <x:c r="C54" s="10" t="d">
        <x:v>2026-03-29T00:00:00.000Z</x:v>
      </x:c>
      <x:c r="D54" s="10" t="d">
        <x:v>2026-05-13T00:00:00.000Z</x:v>
      </x:c>
      <x:c r="E54" s="11" t="n">
        <x:v>19154.75</x:v>
      </x:c>
      <x:c r="F54" s="2" t="str">
        <x:v>No</x:v>
      </x:c>
      <x:c r="G54" s="2" t="str"/>
    </x:row>
    <x:row r="55" ht="23" customHeight="1">
      <x:c r="A55" s="2" t="str">
        <x:v>INV00051</x:v>
      </x:c>
      <x:c r="B55" s="2" t="str">
        <x:v>C013</x:v>
      </x:c>
      <x:c r="C55" s="10" t="d">
        <x:v>2026-06-26T00:00:00.000Z</x:v>
      </x:c>
      <x:c r="D55" s="10" t="d">
        <x:v>2026-07-26T00:00:00.000Z</x:v>
      </x:c>
      <x:c r="E55" s="11" t="n">
        <x:v>3842.87</x:v>
      </x:c>
      <x:c r="F55" s="2" t="str">
        <x:v>No</x:v>
      </x:c>
      <x:c r="G55" s="2" t="str"/>
    </x:row>
    <x:row r="56" ht="23" customHeight="1">
      <x:c r="A56" s="2" t="str">
        <x:v>INV00052</x:v>
      </x:c>
      <x:c r="B56" s="2" t="str">
        <x:v>C036</x:v>
      </x:c>
      <x:c r="C56" s="10" t="d">
        <x:v>2026-05-05T00:00:00.000Z</x:v>
      </x:c>
      <x:c r="D56" s="10" t="d">
        <x:v>2026-06-04T00:00:00.000Z</x:v>
      </x:c>
      <x:c r="E56" s="11" t="n">
        <x:v>2967.13</x:v>
      </x:c>
      <x:c r="F56" s="2" t="str">
        <x:v>No</x:v>
      </x:c>
      <x:c r="G56" s="2" t="str"/>
    </x:row>
    <x:row r="57" ht="23" customHeight="1">
      <x:c r="A57" s="2" t="str">
        <x:v>INV00053</x:v>
      </x:c>
      <x:c r="B57" s="2" t="str">
        <x:v>C032</x:v>
      </x:c>
      <x:c r="C57" s="10" t="d">
        <x:v>2026-07-19T00:00:00.000Z</x:v>
      </x:c>
      <x:c r="D57" s="10" t="d">
        <x:v>2026-09-02T00:00:00.000Z</x:v>
      </x:c>
      <x:c r="E57" s="11" t="n">
        <x:v>19711.94</x:v>
      </x:c>
      <x:c r="F57" s="2" t="str">
        <x:v>No</x:v>
      </x:c>
      <x:c r="G57" s="2" t="str"/>
    </x:row>
    <x:row r="58" ht="23" customHeight="1">
      <x:c r="A58" s="2" t="str">
        <x:v>INV00054</x:v>
      </x:c>
      <x:c r="B58" s="2" t="str">
        <x:v>C036</x:v>
      </x:c>
      <x:c r="C58" s="10" t="d">
        <x:v>2026-09-29T00:00:00.000Z</x:v>
      </x:c>
      <x:c r="D58" s="10" t="d">
        <x:v>2026-11-13T00:00:00.000Z</x:v>
      </x:c>
      <x:c r="E58" s="11" t="n">
        <x:v>5101.42</x:v>
      </x:c>
      <x:c r="F58" s="2" t="str">
        <x:v>No</x:v>
      </x:c>
      <x:c r="G58" s="2" t="str"/>
    </x:row>
    <x:row r="59" ht="23" customHeight="1">
      <x:c r="A59" s="2" t="str">
        <x:v>INV00055</x:v>
      </x:c>
      <x:c r="B59" s="2" t="str">
        <x:v>C010</x:v>
      </x:c>
      <x:c r="C59" s="10" t="d">
        <x:v>2026-03-30T00:00:00.000Z</x:v>
      </x:c>
      <x:c r="D59" s="10" t="d">
        <x:v>2026-05-14T00:00:00.000Z</x:v>
      </x:c>
      <x:c r="E59" s="11" t="n">
        <x:v>7169.9</x:v>
      </x:c>
      <x:c r="F59" s="2" t="str">
        <x:v>No</x:v>
      </x:c>
      <x:c r="G59" s="2" t="str"/>
    </x:row>
    <x:row r="60" ht="23" customHeight="1">
      <x:c r="A60" s="2" t="str">
        <x:v>INV00056</x:v>
      </x:c>
      <x:c r="B60" s="2" t="str">
        <x:v>C006</x:v>
      </x:c>
      <x:c r="C60" s="10" t="d">
        <x:v>2026-02-21T00:00:00.000Z</x:v>
      </x:c>
      <x:c r="D60" s="10" t="d">
        <x:v>2026-03-23T00:00:00.000Z</x:v>
      </x:c>
      <x:c r="E60" s="11" t="n">
        <x:v>2357.94</x:v>
      </x:c>
      <x:c r="F60" s="2" t="str">
        <x:v>No</x:v>
      </x:c>
      <x:c r="G60" s="2" t="str"/>
    </x:row>
    <x:row r="61" ht="23" customHeight="1">
      <x:c r="A61" s="2" t="str">
        <x:v>INV00057</x:v>
      </x:c>
      <x:c r="B61" s="2" t="str">
        <x:v>C025</x:v>
      </x:c>
      <x:c r="C61" s="10" t="d">
        <x:v>2026-07-10T00:00:00.000Z</x:v>
      </x:c>
      <x:c r="D61" s="10" t="d">
        <x:v>2026-09-08T00:00:00.000Z</x:v>
      </x:c>
      <x:c r="E61" s="11" t="n">
        <x:v>7105.82</x:v>
      </x:c>
      <x:c r="F61" s="2" t="str">
        <x:v>No</x:v>
      </x:c>
      <x:c r="G61" s="2" t="str"/>
    </x:row>
    <x:row r="62" ht="23" customHeight="1">
      <x:c r="A62" s="2" t="str">
        <x:v>INV00058</x:v>
      </x:c>
      <x:c r="B62" s="2" t="str">
        <x:v>C033</x:v>
      </x:c>
      <x:c r="C62" s="10" t="d">
        <x:v>2026-03-29T00:00:00.000Z</x:v>
      </x:c>
      <x:c r="D62" s="10" t="d">
        <x:v>2026-04-13T00:00:00.000Z</x:v>
      </x:c>
      <x:c r="E62" s="11" t="n">
        <x:v>8334.74</x:v>
      </x:c>
      <x:c r="F62" s="2" t="str">
        <x:v>No</x:v>
      </x:c>
      <x:c r="G62" s="2" t="str"/>
    </x:row>
    <x:row r="63" ht="23" customHeight="1">
      <x:c r="A63" s="2" t="str">
        <x:v>INV00059</x:v>
      </x:c>
      <x:c r="B63" s="2" t="str">
        <x:v>C023</x:v>
      </x:c>
      <x:c r="C63" s="10" t="d">
        <x:v>2026-05-04T00:00:00.000Z</x:v>
      </x:c>
      <x:c r="D63" s="10" t="d">
        <x:v>2026-06-03T00:00:00.000Z</x:v>
      </x:c>
      <x:c r="E63" s="11" t="n">
        <x:v>15115.35</x:v>
      </x:c>
      <x:c r="F63" s="2" t="str">
        <x:v>No</x:v>
      </x:c>
      <x:c r="G63" s="2" t="str"/>
    </x:row>
    <x:row r="64" ht="23" customHeight="1">
      <x:c r="A64" s="2" t="str">
        <x:v>INV00060</x:v>
      </x:c>
      <x:c r="B64" s="2" t="str">
        <x:v>C036</x:v>
      </x:c>
      <x:c r="C64" s="10" t="d">
        <x:v>2026-03-08T00:00:00.000Z</x:v>
      </x:c>
      <x:c r="D64" s="10" t="d">
        <x:v>2026-03-23T00:00:00.000Z</x:v>
      </x:c>
      <x:c r="E64" s="11" t="n">
        <x:v>11874.02</x:v>
      </x:c>
      <x:c r="F64" s="2" t="str">
        <x:v>No</x:v>
      </x:c>
      <x:c r="G64" s="2" t="str"/>
    </x:row>
    <x:row r="65" ht="23" customHeight="1">
      <x:c r="A65" s="2" t="str">
        <x:v>INV00061</x:v>
      </x:c>
      <x:c r="B65" s="2" t="str">
        <x:v>C034</x:v>
      </x:c>
      <x:c r="C65" s="10" t="d">
        <x:v>2026-05-30T00:00:00.000Z</x:v>
      </x:c>
      <x:c r="D65" s="10" t="d">
        <x:v>2026-06-29T00:00:00.000Z</x:v>
      </x:c>
      <x:c r="E65" s="11" t="n">
        <x:v>18808.75</x:v>
      </x:c>
      <x:c r="F65" s="2" t="str">
        <x:v>No</x:v>
      </x:c>
      <x:c r="G65" s="2" t="str"/>
    </x:row>
    <x:row r="66" ht="23" customHeight="1">
      <x:c r="A66" s="2" t="str">
        <x:v>INV00062</x:v>
      </x:c>
      <x:c r="B66" s="2" t="str">
        <x:v>C035</x:v>
      </x:c>
      <x:c r="C66" s="10" t="d">
        <x:v>2026-05-04T00:00:00.000Z</x:v>
      </x:c>
      <x:c r="D66" s="10" t="d">
        <x:v>2026-06-03T00:00:00.000Z</x:v>
      </x:c>
      <x:c r="E66" s="11" t="n">
        <x:v>19332.16</x:v>
      </x:c>
      <x:c r="F66" s="2" t="str">
        <x:v>No</x:v>
      </x:c>
      <x:c r="G66" s="2" t="str"/>
    </x:row>
    <x:row r="67" ht="23" customHeight="1">
      <x:c r="A67" s="2" t="str">
        <x:v>INV00063</x:v>
      </x:c>
      <x:c r="B67" s="2" t="str">
        <x:v>C034</x:v>
      </x:c>
      <x:c r="C67" s="10" t="d">
        <x:v>2026-09-22T00:00:00.000Z</x:v>
      </x:c>
      <x:c r="D67" s="10" t="d">
        <x:v>2026-10-22T00:00:00.000Z</x:v>
      </x:c>
      <x:c r="E67" s="11" t="n">
        <x:v>11383.5</x:v>
      </x:c>
      <x:c r="F67" s="2" t="str">
        <x:v>No</x:v>
      </x:c>
      <x:c r="G67" s="2" t="str"/>
    </x:row>
    <x:row r="68" ht="23" customHeight="1">
      <x:c r="A68" s="2" t="str">
        <x:v>INV00064</x:v>
      </x:c>
      <x:c r="B68" s="2" t="str">
        <x:v>C019</x:v>
      </x:c>
      <x:c r="C68" s="10" t="d">
        <x:v>2026-05-08T00:00:00.000Z</x:v>
      </x:c>
      <x:c r="D68" s="10" t="d">
        <x:v>2026-06-22T00:00:00.000Z</x:v>
      </x:c>
      <x:c r="E68" s="11" t="n">
        <x:v>4201.51</x:v>
      </x:c>
      <x:c r="F68" s="2" t="str">
        <x:v>No</x:v>
      </x:c>
      <x:c r="G68" s="2" t="str"/>
    </x:row>
    <x:row r="69" ht="23" customHeight="1">
      <x:c r="A69" s="2" t="str">
        <x:v>INV00065</x:v>
      </x:c>
      <x:c r="B69" s="2" t="str">
        <x:v>C025</x:v>
      </x:c>
      <x:c r="C69" s="10" t="d">
        <x:v>2026-07-20T00:00:00.000Z</x:v>
      </x:c>
      <x:c r="D69" s="10" t="d">
        <x:v>2026-08-19T00:00:00.000Z</x:v>
      </x:c>
      <x:c r="E69" s="11" t="n">
        <x:v>9597.59</x:v>
      </x:c>
      <x:c r="F69" s="2" t="str">
        <x:v>No</x:v>
      </x:c>
      <x:c r="G69" s="2" t="str"/>
    </x:row>
    <x:row r="70" ht="23" customHeight="1">
      <x:c r="A70" s="2" t="str">
        <x:v>INV00066</x:v>
      </x:c>
      <x:c r="B70" s="2" t="str">
        <x:v>C006</x:v>
      </x:c>
      <x:c r="C70" s="10" t="d">
        <x:v>2026-05-01T00:00:00.000Z</x:v>
      </x:c>
      <x:c r="D70" s="10" t="d">
        <x:v>2026-05-31T00:00:00.000Z</x:v>
      </x:c>
      <x:c r="E70" s="11" t="n">
        <x:v>10760.06</x:v>
      </x:c>
      <x:c r="F70" s="2" t="str">
        <x:v>No</x:v>
      </x:c>
      <x:c r="G70" s="2" t="str"/>
    </x:row>
    <x:row r="71" ht="23" customHeight="1">
      <x:c r="A71" s="2" t="str">
        <x:v>INV00067</x:v>
      </x:c>
      <x:c r="B71" s="2" t="str">
        <x:v>C015</x:v>
      </x:c>
      <x:c r="C71" s="10" t="d">
        <x:v>2026-03-31T00:00:00.000Z</x:v>
      </x:c>
      <x:c r="D71" s="10" t="d">
        <x:v>2026-05-30T00:00:00.000Z</x:v>
      </x:c>
      <x:c r="E71" s="11" t="n">
        <x:v>5228.2</x:v>
      </x:c>
      <x:c r="F71" s="2" t="str">
        <x:v>No</x:v>
      </x:c>
      <x:c r="G71" s="2" t="str"/>
    </x:row>
    <x:row r="72" ht="23" customHeight="1">
      <x:c r="A72" s="2" t="str">
        <x:v>INV00068</x:v>
      </x:c>
      <x:c r="B72" s="2" t="str">
        <x:v>C022</x:v>
      </x:c>
      <x:c r="C72" s="10" t="d">
        <x:v>2026-05-10T00:00:00.000Z</x:v>
      </x:c>
      <x:c r="D72" s="10" t="d">
        <x:v>2026-05-25T00:00:00.000Z</x:v>
      </x:c>
      <x:c r="E72" s="11" t="n">
        <x:v>7786.18</x:v>
      </x:c>
      <x:c r="F72" s="2" t="str">
        <x:v>No</x:v>
      </x:c>
      <x:c r="G72" s="2" t="str"/>
    </x:row>
    <x:row r="73" ht="23" customHeight="1">
      <x:c r="A73" s="2" t="str">
        <x:v>INV00069</x:v>
      </x:c>
      <x:c r="B73" s="2" t="str">
        <x:v>C002</x:v>
      </x:c>
      <x:c r="C73" s="10" t="d">
        <x:v>2026-01-12T00:00:00.000Z</x:v>
      </x:c>
      <x:c r="D73" s="10" t="d">
        <x:v>2026-02-11T00:00:00.000Z</x:v>
      </x:c>
      <x:c r="E73" s="11" t="n">
        <x:v>4398.05</x:v>
      </x:c>
      <x:c r="F73" s="2" t="str">
        <x:v>Yes</x:v>
      </x:c>
      <x:c r="G73" s="2" t="str">
        <x:v>Service acceptance pending</x:v>
      </x:c>
    </x:row>
    <x:row r="74" ht="23" customHeight="1">
      <x:c r="A74" s="2" t="str">
        <x:v>INV00070</x:v>
      </x:c>
      <x:c r="B74" s="2" t="str">
        <x:v>C009</x:v>
      </x:c>
      <x:c r="C74" s="10" t="d">
        <x:v>2026-08-04T00:00:00.000Z</x:v>
      </x:c>
      <x:c r="D74" s="10" t="d">
        <x:v>2026-09-18T00:00:00.000Z</x:v>
      </x:c>
      <x:c r="E74" s="11" t="n">
        <x:v>8971.56</x:v>
      </x:c>
      <x:c r="F74" s="2" t="str">
        <x:v>No</x:v>
      </x:c>
      <x:c r="G74" s="2" t="str"/>
    </x:row>
    <x:row r="75" ht="23" customHeight="1">
      <x:c r="A75" s="2" t="str">
        <x:v>INV00071</x:v>
      </x:c>
      <x:c r="B75" s="2" t="str">
        <x:v>C017</x:v>
      </x:c>
      <x:c r="C75" s="10" t="d">
        <x:v>2026-02-24T00:00:00.000Z</x:v>
      </x:c>
      <x:c r="D75" s="10" t="d">
        <x:v>2026-03-26T00:00:00.000Z</x:v>
      </x:c>
      <x:c r="E75" s="11" t="n">
        <x:v>13376.27</x:v>
      </x:c>
      <x:c r="F75" s="2" t="str">
        <x:v>No</x:v>
      </x:c>
      <x:c r="G75" s="2" t="str"/>
    </x:row>
    <x:row r="76" ht="23" customHeight="1">
      <x:c r="A76" s="2" t="str">
        <x:v>INV00072</x:v>
      </x:c>
      <x:c r="B76" s="2" t="str">
        <x:v>C014</x:v>
      </x:c>
      <x:c r="C76" s="10" t="d">
        <x:v>2026-04-06T00:00:00.000Z</x:v>
      </x:c>
      <x:c r="D76" s="10" t="d">
        <x:v>2026-05-06T00:00:00.000Z</x:v>
      </x:c>
      <x:c r="E76" s="11" t="n">
        <x:v>14819.99</x:v>
      </x:c>
      <x:c r="F76" s="2" t="str">
        <x:v>No</x:v>
      </x:c>
      <x:c r="G76" s="2" t="str"/>
    </x:row>
    <x:row r="77" ht="23" customHeight="1">
      <x:c r="A77" s="2" t="str">
        <x:v>INV00073</x:v>
      </x:c>
      <x:c r="B77" s="2" t="str">
        <x:v>C010</x:v>
      </x:c>
      <x:c r="C77" s="10" t="d">
        <x:v>2026-03-22T00:00:00.000Z</x:v>
      </x:c>
      <x:c r="D77" s="10" t="d">
        <x:v>2026-04-06T00:00:00.000Z</x:v>
      </x:c>
      <x:c r="E77" s="11" t="n">
        <x:v>16969.98</x:v>
      </x:c>
      <x:c r="F77" s="2" t="str">
        <x:v>No</x:v>
      </x:c>
      <x:c r="G77" s="2" t="str"/>
    </x:row>
    <x:row r="78" ht="23" customHeight="1">
      <x:c r="A78" s="2" t="str">
        <x:v>INV00074</x:v>
      </x:c>
      <x:c r="B78" s="2" t="str">
        <x:v>C011</x:v>
      </x:c>
      <x:c r="C78" s="10" t="d">
        <x:v>2026-05-27T00:00:00.000Z</x:v>
      </x:c>
      <x:c r="D78" s="10" t="d">
        <x:v>2026-07-26T00:00:00.000Z</x:v>
      </x:c>
      <x:c r="E78" s="11" t="n">
        <x:v>11134.73</x:v>
      </x:c>
      <x:c r="F78" s="2" t="str">
        <x:v>No</x:v>
      </x:c>
      <x:c r="G78" s="2" t="str"/>
    </x:row>
    <x:row r="79" ht="23" customHeight="1">
      <x:c r="A79" s="2" t="str">
        <x:v>INV00075</x:v>
      </x:c>
      <x:c r="B79" s="2" t="str">
        <x:v>C028</x:v>
      </x:c>
      <x:c r="C79" s="10" t="d">
        <x:v>2026-06-14T00:00:00.000Z</x:v>
      </x:c>
      <x:c r="D79" s="10" t="d">
        <x:v>2026-07-14T00:00:00.000Z</x:v>
      </x:c>
      <x:c r="E79" s="11" t="n">
        <x:v>2905.16</x:v>
      </x:c>
      <x:c r="F79" s="2" t="str">
        <x:v>No</x:v>
      </x:c>
      <x:c r="G79" s="2" t="str"/>
    </x:row>
    <x:row r="80" ht="23" customHeight="1">
      <x:c r="A80" s="2" t="str">
        <x:v>INV00076</x:v>
      </x:c>
      <x:c r="B80" s="2" t="str">
        <x:v>C014</x:v>
      </x:c>
      <x:c r="C80" s="10" t="d">
        <x:v>2026-03-17T00:00:00.000Z</x:v>
      </x:c>
      <x:c r="D80" s="10" t="d">
        <x:v>2026-04-16T00:00:00.000Z</x:v>
      </x:c>
      <x:c r="E80" s="11" t="n">
        <x:v>13219.41</x:v>
      </x:c>
      <x:c r="F80" s="2" t="str">
        <x:v>No</x:v>
      </x:c>
      <x:c r="G80" s="2" t="str"/>
    </x:row>
    <x:row r="81" ht="23" customHeight="1">
      <x:c r="A81" s="2" t="str">
        <x:v>INV00077</x:v>
      </x:c>
      <x:c r="B81" s="2" t="str">
        <x:v>C029</x:v>
      </x:c>
      <x:c r="C81" s="10" t="d">
        <x:v>2026-01-30T00:00:00.000Z</x:v>
      </x:c>
      <x:c r="D81" s="10" t="d">
        <x:v>2026-02-14T00:00:00.000Z</x:v>
      </x:c>
      <x:c r="E81" s="11" t="n">
        <x:v>12573.83</x:v>
      </x:c>
      <x:c r="F81" s="2" t="str">
        <x:v>No</x:v>
      </x:c>
      <x:c r="G81" s="2" t="str"/>
    </x:row>
    <x:row r="82" ht="23" customHeight="1">
      <x:c r="A82" s="2" t="str">
        <x:v>INV00078</x:v>
      </x:c>
      <x:c r="B82" s="2" t="str">
        <x:v>C032</x:v>
      </x:c>
      <x:c r="C82" s="10" t="d">
        <x:v>2026-05-17T00:00:00.000Z</x:v>
      </x:c>
      <x:c r="D82" s="10" t="d">
        <x:v>2026-07-01T00:00:00.000Z</x:v>
      </x:c>
      <x:c r="E82" s="11" t="n">
        <x:v>12148.76</x:v>
      </x:c>
      <x:c r="F82" s="2" t="str">
        <x:v>No</x:v>
      </x:c>
      <x:c r="G82" s="2" t="str"/>
    </x:row>
    <x:row r="83" ht="23" customHeight="1">
      <x:c r="A83" s="2" t="str">
        <x:v>INV00079</x:v>
      </x:c>
      <x:c r="B83" s="2" t="str">
        <x:v>C014</x:v>
      </x:c>
      <x:c r="C83" s="10" t="d">
        <x:v>2026-08-25T00:00:00.000Z</x:v>
      </x:c>
      <x:c r="D83" s="10" t="d">
        <x:v>2026-09-24T00:00:00.000Z</x:v>
      </x:c>
      <x:c r="E83" s="11" t="n">
        <x:v>12882.45</x:v>
      </x:c>
      <x:c r="F83" s="2" t="str">
        <x:v>No</x:v>
      </x:c>
      <x:c r="G83" s="2" t="str"/>
    </x:row>
    <x:row r="84" ht="23" customHeight="1">
      <x:c r="A84" s="2" t="str">
        <x:v>INV00080</x:v>
      </x:c>
      <x:c r="B84" s="2" t="str">
        <x:v>C027</x:v>
      </x:c>
      <x:c r="C84" s="10" t="d">
        <x:v>2026-01-03T00:00:00.000Z</x:v>
      </x:c>
      <x:c r="D84" s="10" t="d">
        <x:v>2026-01-18T00:00:00.000Z</x:v>
      </x:c>
      <x:c r="E84" s="11" t="n">
        <x:v>19162.51</x:v>
      </x:c>
      <x:c r="F84" s="2" t="str">
        <x:v>No</x:v>
      </x:c>
      <x:c r="G84" s="2" t="str"/>
    </x:row>
    <x:row r="85" ht="23" customHeight="1">
      <x:c r="A85" s="2" t="str">
        <x:v>INV00081</x:v>
      </x:c>
      <x:c r="B85" s="2" t="str">
        <x:v>C035</x:v>
      </x:c>
      <x:c r="C85" s="10" t="d">
        <x:v>2026-03-02T00:00:00.000Z</x:v>
      </x:c>
      <x:c r="D85" s="10" t="d">
        <x:v>2026-04-16T00:00:00.000Z</x:v>
      </x:c>
      <x:c r="E85" s="11" t="n">
        <x:v>2467.93</x:v>
      </x:c>
      <x:c r="F85" s="2" t="str">
        <x:v>No</x:v>
      </x:c>
      <x:c r="G85" s="2" t="str"/>
    </x:row>
    <x:row r="86" ht="23" customHeight="1">
      <x:c r="A86" s="2" t="str">
        <x:v>INV00082</x:v>
      </x:c>
      <x:c r="B86" s="2" t="str">
        <x:v>C035</x:v>
      </x:c>
      <x:c r="C86" s="10" t="d">
        <x:v>2026-04-12T00:00:00.000Z</x:v>
      </x:c>
      <x:c r="D86" s="10" t="d">
        <x:v>2026-05-27T00:00:00.000Z</x:v>
      </x:c>
      <x:c r="E86" s="11" t="n">
        <x:v>7347.92</x:v>
      </x:c>
      <x:c r="F86" s="2" t="str">
        <x:v>No</x:v>
      </x:c>
      <x:c r="G86" s="2" t="str"/>
    </x:row>
    <x:row r="87" ht="23" customHeight="1">
      <x:c r="A87" s="2" t="str">
        <x:v>INV00083</x:v>
      </x:c>
      <x:c r="B87" s="2" t="str">
        <x:v>C031</x:v>
      </x:c>
      <x:c r="C87" s="10" t="d">
        <x:v>2026-04-24T00:00:00.000Z</x:v>
      </x:c>
      <x:c r="D87" s="10" t="d">
        <x:v>2026-05-24T00:00:00.000Z</x:v>
      </x:c>
      <x:c r="E87" s="11" t="n">
        <x:v>3465.49</x:v>
      </x:c>
      <x:c r="F87" s="2" t="str">
        <x:v>No</x:v>
      </x:c>
      <x:c r="G87" s="2" t="str"/>
    </x:row>
    <x:row r="88" ht="23" customHeight="1">
      <x:c r="A88" s="2" t="str">
        <x:v>INV00084</x:v>
      </x:c>
      <x:c r="B88" s="2" t="str">
        <x:v>C008</x:v>
      </x:c>
      <x:c r="C88" s="10" t="d">
        <x:v>2026-08-09T00:00:00.000Z</x:v>
      </x:c>
      <x:c r="D88" s="10" t="d">
        <x:v>2026-09-08T00:00:00.000Z</x:v>
      </x:c>
      <x:c r="E88" s="11" t="n">
        <x:v>4665.95</x:v>
      </x:c>
      <x:c r="F88" s="2" t="str">
        <x:v>No</x:v>
      </x:c>
      <x:c r="G88" s="2" t="str"/>
    </x:row>
    <x:row r="89" ht="23" customHeight="1">
      <x:c r="A89" s="2" t="str">
        <x:v>INV00085</x:v>
      </x:c>
      <x:c r="B89" s="2" t="str">
        <x:v>C022</x:v>
      </x:c>
      <x:c r="C89" s="10" t="d">
        <x:v>2026-08-20T00:00:00.000Z</x:v>
      </x:c>
      <x:c r="D89" s="10" t="d">
        <x:v>2026-09-04T00:00:00.000Z</x:v>
      </x:c>
      <x:c r="E89" s="11" t="n">
        <x:v>18802.86</x:v>
      </x:c>
      <x:c r="F89" s="2" t="str">
        <x:v>No</x:v>
      </x:c>
      <x:c r="G89" s="2" t="str"/>
    </x:row>
    <x:row r="90" ht="23" customHeight="1">
      <x:c r="A90" s="2" t="str">
        <x:v>INV00086</x:v>
      </x:c>
      <x:c r="B90" s="2" t="str">
        <x:v>C032</x:v>
      </x:c>
      <x:c r="C90" s="10" t="d">
        <x:v>2026-08-08T00:00:00.000Z</x:v>
      </x:c>
      <x:c r="D90" s="10" t="d">
        <x:v>2026-09-22T00:00:00.000Z</x:v>
      </x:c>
      <x:c r="E90" s="11" t="n">
        <x:v>4631.42</x:v>
      </x:c>
      <x:c r="F90" s="2" t="str">
        <x:v>No</x:v>
      </x:c>
      <x:c r="G90" s="2" t="str"/>
    </x:row>
    <x:row r="91" ht="23" customHeight="1">
      <x:c r="A91" s="2" t="str">
        <x:v>INV00087</x:v>
      </x:c>
      <x:c r="B91" s="2" t="str">
        <x:v>C014</x:v>
      </x:c>
      <x:c r="C91" s="10" t="d">
        <x:v>2026-06-29T00:00:00.000Z</x:v>
      </x:c>
      <x:c r="D91" s="10" t="d">
        <x:v>2026-08-28T00:00:00.000Z</x:v>
      </x:c>
      <x:c r="E91" s="11" t="n">
        <x:v>14796.43</x:v>
      </x:c>
      <x:c r="F91" s="2" t="str">
        <x:v>No</x:v>
      </x:c>
      <x:c r="G91" s="2" t="str"/>
    </x:row>
    <x:row r="92" ht="23" customHeight="1">
      <x:c r="A92" s="2" t="str">
        <x:v>INV00088</x:v>
      </x:c>
      <x:c r="B92" s="2" t="str">
        <x:v>C026</x:v>
      </x:c>
      <x:c r="C92" s="10" t="d">
        <x:v>2026-05-08T00:00:00.000Z</x:v>
      </x:c>
      <x:c r="D92" s="10" t="d">
        <x:v>2026-06-07T00:00:00.000Z</x:v>
      </x:c>
      <x:c r="E92" s="11" t="n">
        <x:v>11586.22</x:v>
      </x:c>
      <x:c r="F92" s="2" t="str">
        <x:v>No</x:v>
      </x:c>
      <x:c r="G92" s="2" t="str"/>
    </x:row>
    <x:row r="93" ht="23" customHeight="1">
      <x:c r="A93" s="2" t="str">
        <x:v>INV00089</x:v>
      </x:c>
      <x:c r="B93" s="2" t="str">
        <x:v>C010</x:v>
      </x:c>
      <x:c r="C93" s="10" t="d">
        <x:v>2026-03-25T00:00:00.000Z</x:v>
      </x:c>
      <x:c r="D93" s="10" t="d">
        <x:v>2026-04-24T00:00:00.000Z</x:v>
      </x:c>
      <x:c r="E93" s="11" t="n">
        <x:v>16233.92</x:v>
      </x:c>
      <x:c r="F93" s="2" t="str">
        <x:v>No</x:v>
      </x:c>
      <x:c r="G93" s="2" t="str"/>
    </x:row>
    <x:row r="94" ht="23" customHeight="1">
      <x:c r="A94" s="2" t="str">
        <x:v>INV00090</x:v>
      </x:c>
      <x:c r="B94" s="2" t="str">
        <x:v>C013</x:v>
      </x:c>
      <x:c r="C94" s="10" t="d">
        <x:v>2026-02-04T00:00:00.000Z</x:v>
      </x:c>
      <x:c r="D94" s="10" t="d">
        <x:v>2026-04-05T00:00:00.000Z</x:v>
      </x:c>
      <x:c r="E94" s="11" t="n">
        <x:v>17472.87</x:v>
      </x:c>
      <x:c r="F94" s="2" t="str">
        <x:v>No</x:v>
      </x:c>
      <x:c r="G94" s="2" t="str"/>
    </x:row>
    <x:row r="95" ht="23" customHeight="1">
      <x:c r="A95" s="2" t="str">
        <x:v>INV00091</x:v>
      </x:c>
      <x:c r="B95" s="2" t="str">
        <x:v>C018</x:v>
      </x:c>
      <x:c r="C95" s="10" t="d">
        <x:v>2026-09-30T00:00:00.000Z</x:v>
      </x:c>
      <x:c r="D95" s="10" t="d">
        <x:v>2026-10-15T00:00:00.000Z</x:v>
      </x:c>
      <x:c r="E95" s="11" t="n">
        <x:v>5457.21</x:v>
      </x:c>
      <x:c r="F95" s="2" t="str">
        <x:v>No</x:v>
      </x:c>
      <x:c r="G95" s="2" t="str"/>
    </x:row>
    <x:row r="96" ht="23" customHeight="1">
      <x:c r="A96" s="2" t="str">
        <x:v>INV00092</x:v>
      </x:c>
      <x:c r="B96" s="2" t="str">
        <x:v>C036</x:v>
      </x:c>
      <x:c r="C96" s="10" t="d">
        <x:v>2026-09-02T00:00:00.000Z</x:v>
      </x:c>
      <x:c r="D96" s="10" t="d">
        <x:v>2026-11-01T00:00:00.000Z</x:v>
      </x:c>
      <x:c r="E96" s="11" t="n">
        <x:v>2545.19</x:v>
      </x:c>
      <x:c r="F96" s="2" t="str">
        <x:v>No</x:v>
      </x:c>
      <x:c r="G96" s="2" t="str"/>
    </x:row>
    <x:row r="97" ht="23" customHeight="1">
      <x:c r="A97" s="2" t="str">
        <x:v>INV00093</x:v>
      </x:c>
      <x:c r="B97" s="2" t="str">
        <x:v>C008</x:v>
      </x:c>
      <x:c r="C97" s="10" t="d">
        <x:v>2026-06-30T00:00:00.000Z</x:v>
      </x:c>
      <x:c r="D97" s="10" t="d">
        <x:v>2026-08-14T00:00:00.000Z</x:v>
      </x:c>
      <x:c r="E97" s="11" t="n">
        <x:v>14175.22</x:v>
      </x:c>
      <x:c r="F97" s="2" t="str">
        <x:v>No</x:v>
      </x:c>
      <x:c r="G97" s="2" t="str"/>
    </x:row>
    <x:row r="98" ht="23" customHeight="1">
      <x:c r="A98" s="2" t="str">
        <x:v>INV00094</x:v>
      </x:c>
      <x:c r="B98" s="2" t="str">
        <x:v>C004</x:v>
      </x:c>
      <x:c r="C98" s="10" t="d">
        <x:v>2026-03-21T00:00:00.000Z</x:v>
      </x:c>
      <x:c r="D98" s="10" t="d">
        <x:v>2026-04-20T00:00:00.000Z</x:v>
      </x:c>
      <x:c r="E98" s="11" t="n">
        <x:v>3438.67</x:v>
      </x:c>
      <x:c r="F98" s="2" t="str">
        <x:v>No</x:v>
      </x:c>
      <x:c r="G98" s="2" t="str"/>
    </x:row>
    <x:row r="99" ht="23" customHeight="1">
      <x:c r="A99" s="2" t="str">
        <x:v>INV00095</x:v>
      </x:c>
      <x:c r="B99" s="2" t="str">
        <x:v>C038</x:v>
      </x:c>
      <x:c r="C99" s="10" t="d">
        <x:v>2026-09-05T00:00:00.000Z</x:v>
      </x:c>
      <x:c r="D99" s="10" t="d">
        <x:v>2026-10-20T00:00:00.000Z</x:v>
      </x:c>
      <x:c r="E99" s="11" t="n">
        <x:v>11261.07</x:v>
      </x:c>
      <x:c r="F99" s="2" t="str">
        <x:v>No</x:v>
      </x:c>
      <x:c r="G99" s="2" t="str"/>
    </x:row>
    <x:row r="100" ht="23" customHeight="1">
      <x:c r="A100" s="2" t="str">
        <x:v>INV00096</x:v>
      </x:c>
      <x:c r="B100" s="2" t="str">
        <x:v>C039</x:v>
      </x:c>
      <x:c r="C100" s="10" t="d">
        <x:v>2026-02-10T00:00:00.000Z</x:v>
      </x:c>
      <x:c r="D100" s="10" t="d">
        <x:v>2026-03-12T00:00:00.000Z</x:v>
      </x:c>
      <x:c r="E100" s="11" t="n">
        <x:v>1748.27</x:v>
      </x:c>
      <x:c r="F100" s="2" t="str">
        <x:v>No</x:v>
      </x:c>
      <x:c r="G100" s="2" t="str"/>
    </x:row>
    <x:row r="101" ht="23" customHeight="1">
      <x:c r="A101" s="2" t="str">
        <x:v>INV00097</x:v>
      </x:c>
      <x:c r="B101" s="2" t="str">
        <x:v>C027</x:v>
      </x:c>
      <x:c r="C101" s="10" t="d">
        <x:v>2026-01-26T00:00:00.000Z</x:v>
      </x:c>
      <x:c r="D101" s="10" t="d">
        <x:v>2026-03-27T00:00:00.000Z</x:v>
      </x:c>
      <x:c r="E101" s="11" t="n">
        <x:v>19925.94</x:v>
      </x:c>
      <x:c r="F101" s="2" t="str">
        <x:v>No</x:v>
      </x:c>
      <x:c r="G101" s="2" t="str"/>
    </x:row>
    <x:row r="102" ht="23" customHeight="1">
      <x:c r="A102" s="2" t="str">
        <x:v>INV00098</x:v>
      </x:c>
      <x:c r="B102" s="2" t="str">
        <x:v>C032</x:v>
      </x:c>
      <x:c r="C102" s="10" t="d">
        <x:v>2026-05-28T00:00:00.000Z</x:v>
      </x:c>
      <x:c r="D102" s="10" t="d">
        <x:v>2026-07-12T00:00:00.000Z</x:v>
      </x:c>
      <x:c r="E102" s="11" t="n">
        <x:v>15200.07</x:v>
      </x:c>
      <x:c r="F102" s="2" t="str">
        <x:v>Yes</x:v>
      </x:c>
      <x:c r="G102" s="2" t="str">
        <x:v>Pricing query</x:v>
      </x:c>
    </x:row>
    <x:row r="103" ht="23" customHeight="1">
      <x:c r="A103" s="2" t="str">
        <x:v>INV00099</x:v>
      </x:c>
      <x:c r="B103" s="2" t="str">
        <x:v>C013</x:v>
      </x:c>
      <x:c r="C103" s="10" t="d">
        <x:v>2026-02-12T00:00:00.000Z</x:v>
      </x:c>
      <x:c r="D103" s="10" t="d">
        <x:v>2026-03-29T00:00:00.000Z</x:v>
      </x:c>
      <x:c r="E103" s="11" t="n">
        <x:v>8988.75</x:v>
      </x:c>
      <x:c r="F103" s="2" t="str">
        <x:v>No</x:v>
      </x:c>
      <x:c r="G103" s="2" t="str"/>
    </x:row>
    <x:row r="104" ht="23" customHeight="1">
      <x:c r="A104" s="2" t="str">
        <x:v>INV00100</x:v>
      </x:c>
      <x:c r="B104" s="2" t="str">
        <x:v>C022</x:v>
      </x:c>
      <x:c r="C104" s="10" t="d">
        <x:v>2026-02-22T00:00:00.000Z</x:v>
      </x:c>
      <x:c r="D104" s="10" t="d">
        <x:v>2026-03-09T00:00:00.000Z</x:v>
      </x:c>
      <x:c r="E104" s="11" t="n">
        <x:v>6540.7</x:v>
      </x:c>
      <x:c r="F104" s="2" t="str">
        <x:v>No</x:v>
      </x:c>
      <x:c r="G104" s="2" t="str"/>
    </x:row>
    <x:row r="105" ht="23" customHeight="1">
      <x:c r="A105" s="2" t="str">
        <x:v>INV00101</x:v>
      </x:c>
      <x:c r="B105" s="2" t="str">
        <x:v>C035</x:v>
      </x:c>
      <x:c r="C105" s="10" t="d">
        <x:v>2026-09-12T00:00:00.000Z</x:v>
      </x:c>
      <x:c r="D105" s="10" t="d">
        <x:v>2026-11-11T00:00:00.000Z</x:v>
      </x:c>
      <x:c r="E105" s="11" t="n">
        <x:v>1775.93</x:v>
      </x:c>
      <x:c r="F105" s="2" t="str">
        <x:v>No</x:v>
      </x:c>
      <x:c r="G105" s="2" t="str"/>
    </x:row>
    <x:row r="106" ht="23" customHeight="1">
      <x:c r="A106" s="2" t="str">
        <x:v>INV00102</x:v>
      </x:c>
      <x:c r="B106" s="2" t="str">
        <x:v>C010</x:v>
      </x:c>
      <x:c r="C106" s="10" t="d">
        <x:v>2026-07-03T00:00:00.000Z</x:v>
      </x:c>
      <x:c r="D106" s="10" t="d">
        <x:v>2026-08-17T00:00:00.000Z</x:v>
      </x:c>
      <x:c r="E106" s="11" t="n">
        <x:v>889.5</x:v>
      </x:c>
      <x:c r="F106" s="2" t="str">
        <x:v>No</x:v>
      </x:c>
      <x:c r="G106" s="2" t="str"/>
    </x:row>
    <x:row r="107" ht="23" customHeight="1">
      <x:c r="A107" s="2" t="str">
        <x:v>INV00103</x:v>
      </x:c>
      <x:c r="B107" s="2" t="str">
        <x:v>C012</x:v>
      </x:c>
      <x:c r="C107" s="10" t="d">
        <x:v>2026-07-11T00:00:00.000Z</x:v>
      </x:c>
      <x:c r="D107" s="10" t="d">
        <x:v>2026-08-25T00:00:00.000Z</x:v>
      </x:c>
      <x:c r="E107" s="11" t="n">
        <x:v>4521.65</x:v>
      </x:c>
      <x:c r="F107" s="2" t="str">
        <x:v>No</x:v>
      </x:c>
      <x:c r="G107" s="2" t="str"/>
    </x:row>
    <x:row r="108" ht="23" customHeight="1">
      <x:c r="A108" s="2" t="str">
        <x:v>INV00104</x:v>
      </x:c>
      <x:c r="B108" s="2" t="str">
        <x:v>C017</x:v>
      </x:c>
      <x:c r="C108" s="10" t="d">
        <x:v>2026-03-09T00:00:00.000Z</x:v>
      </x:c>
      <x:c r="D108" s="10" t="d">
        <x:v>2026-05-08T00:00:00.000Z</x:v>
      </x:c>
      <x:c r="E108" s="11" t="n">
        <x:v>13454.36</x:v>
      </x:c>
      <x:c r="F108" s="2" t="str">
        <x:v>No</x:v>
      </x:c>
      <x:c r="G108" s="2" t="str"/>
    </x:row>
    <x:row r="109" ht="23" customHeight="1">
      <x:c r="A109" s="2" t="str">
        <x:v>INV00105</x:v>
      </x:c>
      <x:c r="B109" s="2" t="str">
        <x:v>C040</x:v>
      </x:c>
      <x:c r="C109" s="10" t="d">
        <x:v>2026-07-25T00:00:00.000Z</x:v>
      </x:c>
      <x:c r="D109" s="10" t="d">
        <x:v>2026-08-09T00:00:00.000Z</x:v>
      </x:c>
      <x:c r="E109" s="11" t="n">
        <x:v>5994.7</x:v>
      </x:c>
      <x:c r="F109" s="2" t="str">
        <x:v>No</x:v>
      </x:c>
      <x:c r="G109" s="2" t="str"/>
    </x:row>
    <x:row r="110" ht="23" customHeight="1">
      <x:c r="A110" s="2" t="str">
        <x:v>INV00106</x:v>
      </x:c>
      <x:c r="B110" s="2" t="str">
        <x:v>C008</x:v>
      </x:c>
      <x:c r="C110" s="10" t="d">
        <x:v>2026-05-09T00:00:00.000Z</x:v>
      </x:c>
      <x:c r="D110" s="10" t="d">
        <x:v>2026-06-23T00:00:00.000Z</x:v>
      </x:c>
      <x:c r="E110" s="11" t="n">
        <x:v>6284.26</x:v>
      </x:c>
      <x:c r="F110" s="2" t="str">
        <x:v>No</x:v>
      </x:c>
      <x:c r="G110" s="2" t="str"/>
    </x:row>
    <x:row r="111" ht="23" customHeight="1">
      <x:c r="A111" s="2" t="str">
        <x:v>INV00107</x:v>
      </x:c>
      <x:c r="B111" s="2" t="str">
        <x:v>C019</x:v>
      </x:c>
      <x:c r="C111" s="10" t="d">
        <x:v>2026-02-17T00:00:00.000Z</x:v>
      </x:c>
      <x:c r="D111" s="10" t="d">
        <x:v>2026-04-03T00:00:00.000Z</x:v>
      </x:c>
      <x:c r="E111" s="11" t="n">
        <x:v>2189.13</x:v>
      </x:c>
      <x:c r="F111" s="2" t="str">
        <x:v>No</x:v>
      </x:c>
      <x:c r="G111" s="2" t="str"/>
    </x:row>
    <x:row r="112" ht="23" customHeight="1">
      <x:c r="A112" s="2" t="str">
        <x:v>INV00108</x:v>
      </x:c>
      <x:c r="B112" s="2" t="str">
        <x:v>C028</x:v>
      </x:c>
      <x:c r="C112" s="10" t="d">
        <x:v>2026-09-16T00:00:00.000Z</x:v>
      </x:c>
      <x:c r="D112" s="10" t="d">
        <x:v>2026-10-31T00:00:00.000Z</x:v>
      </x:c>
      <x:c r="E112" s="11" t="n">
        <x:v>9266.56</x:v>
      </x:c>
      <x:c r="F112" s="2" t="str">
        <x:v>No</x:v>
      </x:c>
      <x:c r="G112" s="2" t="str"/>
    </x:row>
    <x:row r="113" ht="23" customHeight="1">
      <x:c r="A113" s="2" t="str">
        <x:v>INV00109</x:v>
      </x:c>
      <x:c r="B113" s="2" t="str">
        <x:v>C001</x:v>
      </x:c>
      <x:c r="C113" s="10" t="d">
        <x:v>2026-01-03T00:00:00.000Z</x:v>
      </x:c>
      <x:c r="D113" s="10" t="d">
        <x:v>2026-01-18T00:00:00.000Z</x:v>
      </x:c>
      <x:c r="E113" s="11" t="n">
        <x:v>8525.5</x:v>
      </x:c>
      <x:c r="F113" s="2" t="str">
        <x:v>No</x:v>
      </x:c>
      <x:c r="G113" s="2" t="str"/>
    </x:row>
    <x:row r="114" ht="23" customHeight="1">
      <x:c r="A114" s="2" t="str">
        <x:v>INV00110</x:v>
      </x:c>
      <x:c r="B114" s="2" t="str">
        <x:v>C029</x:v>
      </x:c>
      <x:c r="C114" s="10" t="d">
        <x:v>2026-06-09T00:00:00.000Z</x:v>
      </x:c>
      <x:c r="D114" s="10" t="d">
        <x:v>2026-06-24T00:00:00.000Z</x:v>
      </x:c>
      <x:c r="E114" s="11" t="n">
        <x:v>9426.5</x:v>
      </x:c>
      <x:c r="F114" s="2" t="str">
        <x:v>No</x:v>
      </x:c>
      <x:c r="G114" s="2" t="str"/>
    </x:row>
    <x:row r="115" ht="23" customHeight="1">
      <x:c r="A115" s="2" t="str">
        <x:v>INV00111</x:v>
      </x:c>
      <x:c r="B115" s="2" t="str">
        <x:v>C004</x:v>
      </x:c>
      <x:c r="C115" s="10" t="d">
        <x:v>2026-05-27T00:00:00.000Z</x:v>
      </x:c>
      <x:c r="D115" s="10" t="d">
        <x:v>2026-07-26T00:00:00.000Z</x:v>
      </x:c>
      <x:c r="E115" s="11" t="n">
        <x:v>10484.36</x:v>
      </x:c>
      <x:c r="F115" s="2" t="str">
        <x:v>No</x:v>
      </x:c>
      <x:c r="G115" s="2" t="str"/>
    </x:row>
    <x:row r="116" ht="23" customHeight="1">
      <x:c r="A116" s="2" t="str">
        <x:v>INV00112</x:v>
      </x:c>
      <x:c r="B116" s="2" t="str">
        <x:v>C038</x:v>
      </x:c>
      <x:c r="C116" s="10" t="d">
        <x:v>2026-01-08T00:00:00.000Z</x:v>
      </x:c>
      <x:c r="D116" s="10" t="d">
        <x:v>2026-03-09T00:00:00.000Z</x:v>
      </x:c>
      <x:c r="E116" s="11" t="n">
        <x:v>811.17</x:v>
      </x:c>
      <x:c r="F116" s="2" t="str">
        <x:v>No</x:v>
      </x:c>
      <x:c r="G116" s="2" t="str"/>
    </x:row>
    <x:row r="117" ht="23" customHeight="1">
      <x:c r="A117" s="2" t="str">
        <x:v>INV00113</x:v>
      </x:c>
      <x:c r="B117" s="2" t="str">
        <x:v>C011</x:v>
      </x:c>
      <x:c r="C117" s="10" t="d">
        <x:v>2026-06-23T00:00:00.000Z</x:v>
      </x:c>
      <x:c r="D117" s="10" t="d">
        <x:v>2026-07-23T00:00:00.000Z</x:v>
      </x:c>
      <x:c r="E117" s="11" t="n">
        <x:v>15170.78</x:v>
      </x:c>
      <x:c r="F117" s="2" t="str">
        <x:v>No</x:v>
      </x:c>
      <x:c r="G117" s="2" t="str"/>
    </x:row>
    <x:row r="118" ht="23" customHeight="1">
      <x:c r="A118" s="2" t="str">
        <x:v>INV00114</x:v>
      </x:c>
      <x:c r="B118" s="2" t="str">
        <x:v>C014</x:v>
      </x:c>
      <x:c r="C118" s="10" t="d">
        <x:v>2026-01-17T00:00:00.000Z</x:v>
      </x:c>
      <x:c r="D118" s="10" t="d">
        <x:v>2026-02-01T00:00:00.000Z</x:v>
      </x:c>
      <x:c r="E118" s="11" t="n">
        <x:v>10795.4</x:v>
      </x:c>
      <x:c r="F118" s="2" t="str">
        <x:v>No</x:v>
      </x:c>
      <x:c r="G118" s="2" t="str"/>
    </x:row>
    <x:row r="119" ht="23" customHeight="1">
      <x:c r="A119" s="2" t="str">
        <x:v>INV00115</x:v>
      </x:c>
      <x:c r="B119" s="2" t="str">
        <x:v>C030</x:v>
      </x:c>
      <x:c r="C119" s="10" t="d">
        <x:v>2026-04-25T00:00:00.000Z</x:v>
      </x:c>
      <x:c r="D119" s="10" t="d">
        <x:v>2026-05-25T00:00:00.000Z</x:v>
      </x:c>
      <x:c r="E119" s="11" t="n">
        <x:v>11560</x:v>
      </x:c>
      <x:c r="F119" s="2" t="str">
        <x:v>No</x:v>
      </x:c>
      <x:c r="G119" s="2" t="str"/>
    </x:row>
    <x:row r="120" ht="23" customHeight="1">
      <x:c r="A120" s="2" t="str">
        <x:v>INV00116</x:v>
      </x:c>
      <x:c r="B120" s="2" t="str">
        <x:v>C028</x:v>
      </x:c>
      <x:c r="C120" s="10" t="d">
        <x:v>2026-07-16T00:00:00.000Z</x:v>
      </x:c>
      <x:c r="D120" s="10" t="d">
        <x:v>2026-08-15T00:00:00.000Z</x:v>
      </x:c>
      <x:c r="E120" s="11" t="n">
        <x:v>5530.99</x:v>
      </x:c>
      <x:c r="F120" s="2" t="str">
        <x:v>No</x:v>
      </x:c>
      <x:c r="G120" s="2" t="str"/>
    </x:row>
    <x:row r="121" ht="23" customHeight="1">
      <x:c r="A121" s="2" t="str">
        <x:v>INV00117</x:v>
      </x:c>
      <x:c r="B121" s="2" t="str">
        <x:v>C018</x:v>
      </x:c>
      <x:c r="C121" s="10" t="d">
        <x:v>2026-06-12T00:00:00.000Z</x:v>
      </x:c>
      <x:c r="D121" s="10" t="d">
        <x:v>2026-07-12T00:00:00.000Z</x:v>
      </x:c>
      <x:c r="E121" s="11" t="n">
        <x:v>11430.93</x:v>
      </x:c>
      <x:c r="F121" s="2" t="str">
        <x:v>No</x:v>
      </x:c>
      <x:c r="G121" s="2" t="str"/>
    </x:row>
    <x:row r="122" ht="23" customHeight="1">
      <x:c r="A122" s="2" t="str">
        <x:v>INV00118</x:v>
      </x:c>
      <x:c r="B122" s="2" t="str">
        <x:v>C013</x:v>
      </x:c>
      <x:c r="C122" s="10" t="d">
        <x:v>2026-08-25T00:00:00.000Z</x:v>
      </x:c>
      <x:c r="D122" s="10" t="d">
        <x:v>2026-10-24T00:00:00.000Z</x:v>
      </x:c>
      <x:c r="E122" s="11" t="n">
        <x:v>11897.81</x:v>
      </x:c>
      <x:c r="F122" s="2" t="str">
        <x:v>No</x:v>
      </x:c>
      <x:c r="G122" s="2" t="str"/>
    </x:row>
    <x:row r="123" ht="23" customHeight="1">
      <x:c r="A123" s="2" t="str">
        <x:v>INV00119</x:v>
      </x:c>
      <x:c r="B123" s="2" t="str">
        <x:v>C003</x:v>
      </x:c>
      <x:c r="C123" s="10" t="d">
        <x:v>2026-09-30T00:00:00.000Z</x:v>
      </x:c>
      <x:c r="D123" s="10" t="d">
        <x:v>2026-10-15T00:00:00.000Z</x:v>
      </x:c>
      <x:c r="E123" s="11" t="n">
        <x:v>13889.35</x:v>
      </x:c>
      <x:c r="F123" s="2" t="str">
        <x:v>No</x:v>
      </x:c>
      <x:c r="G123" s="2" t="str"/>
    </x:row>
    <x:row r="124" ht="23" customHeight="1">
      <x:c r="A124" s="2" t="str">
        <x:v>INV00120</x:v>
      </x:c>
      <x:c r="B124" s="2" t="str">
        <x:v>C016</x:v>
      </x:c>
      <x:c r="C124" s="10" t="d">
        <x:v>2026-05-31T00:00:00.000Z</x:v>
      </x:c>
      <x:c r="D124" s="10" t="d">
        <x:v>2026-06-30T00:00:00.000Z</x:v>
      </x:c>
      <x:c r="E124" s="11" t="n">
        <x:v>5782.91</x:v>
      </x:c>
      <x:c r="F124" s="2" t="str">
        <x:v>No</x:v>
      </x:c>
      <x:c r="G124" s="2" t="str"/>
    </x:row>
    <x:row r="125" ht="23" customHeight="1">
      <x:c r="A125" s="2" t="str">
        <x:v>INV00121</x:v>
      </x:c>
      <x:c r="B125" s="2" t="str">
        <x:v>C008</x:v>
      </x:c>
      <x:c r="C125" s="10" t="d">
        <x:v>2026-08-01T00:00:00.000Z</x:v>
      </x:c>
      <x:c r="D125" s="10" t="d">
        <x:v>2026-09-30T00:00:00.000Z</x:v>
      </x:c>
      <x:c r="E125" s="11" t="n">
        <x:v>473.17</x:v>
      </x:c>
      <x:c r="F125" s="2" t="str">
        <x:v>No</x:v>
      </x:c>
      <x:c r="G125" s="2" t="str"/>
    </x:row>
    <x:row r="126" ht="23" customHeight="1">
      <x:c r="A126" s="2" t="str">
        <x:v>INV00122</x:v>
      </x:c>
      <x:c r="B126" s="2" t="str">
        <x:v>C027</x:v>
      </x:c>
      <x:c r="C126" s="10" t="d">
        <x:v>2026-02-16T00:00:00.000Z</x:v>
      </x:c>
      <x:c r="D126" s="10" t="d">
        <x:v>2026-04-02T00:00:00.000Z</x:v>
      </x:c>
      <x:c r="E126" s="11" t="n">
        <x:v>7091.58</x:v>
      </x:c>
      <x:c r="F126" s="2" t="str">
        <x:v>No</x:v>
      </x:c>
      <x:c r="G126" s="2" t="str"/>
    </x:row>
    <x:row r="127" ht="23" customHeight="1">
      <x:c r="A127" s="2" t="str">
        <x:v>INV00123</x:v>
      </x:c>
      <x:c r="B127" s="2" t="str">
        <x:v>C040</x:v>
      </x:c>
      <x:c r="C127" s="10" t="d">
        <x:v>2026-05-04T00:00:00.000Z</x:v>
      </x:c>
      <x:c r="D127" s="10" t="d">
        <x:v>2026-07-03T00:00:00.000Z</x:v>
      </x:c>
      <x:c r="E127" s="11" t="n">
        <x:v>9183.25</x:v>
      </x:c>
      <x:c r="F127" s="2" t="str">
        <x:v>No</x:v>
      </x:c>
      <x:c r="G127" s="2" t="str"/>
    </x:row>
    <x:row r="128" ht="23" customHeight="1">
      <x:c r="A128" s="2" t="str">
        <x:v>INV00124</x:v>
      </x:c>
      <x:c r="B128" s="2" t="str">
        <x:v>C033</x:v>
      </x:c>
      <x:c r="C128" s="10" t="d">
        <x:v>2026-01-10T00:00:00.000Z</x:v>
      </x:c>
      <x:c r="D128" s="10" t="d">
        <x:v>2026-01-25T00:00:00.000Z</x:v>
      </x:c>
      <x:c r="E128" s="11" t="n">
        <x:v>1082.86</x:v>
      </x:c>
      <x:c r="F128" s="2" t="str">
        <x:v>No</x:v>
      </x:c>
      <x:c r="G128" s="2" t="str"/>
    </x:row>
    <x:row r="129" ht="23" customHeight="1">
      <x:c r="A129" s="2" t="str">
        <x:v>INV00125</x:v>
      </x:c>
      <x:c r="B129" s="2" t="str">
        <x:v>C001</x:v>
      </x:c>
      <x:c r="C129" s="10" t="d">
        <x:v>2026-07-15T00:00:00.000Z</x:v>
      </x:c>
      <x:c r="D129" s="10" t="d">
        <x:v>2026-08-14T00:00:00.000Z</x:v>
      </x:c>
      <x:c r="E129" s="11" t="n">
        <x:v>3214.88</x:v>
      </x:c>
      <x:c r="F129" s="2" t="str">
        <x:v>No</x:v>
      </x:c>
      <x:c r="G129" s="2" t="str"/>
    </x:row>
    <x:row r="130" ht="23" customHeight="1">
      <x:c r="A130" s="2" t="str">
        <x:v>INV00126</x:v>
      </x:c>
      <x:c r="B130" s="2" t="str">
        <x:v>C018</x:v>
      </x:c>
      <x:c r="C130" s="10" t="d">
        <x:v>2026-01-13T00:00:00.000Z</x:v>
      </x:c>
      <x:c r="D130" s="10" t="d">
        <x:v>2026-01-28T00:00:00.000Z</x:v>
      </x:c>
      <x:c r="E130" s="11" t="n">
        <x:v>8758.58</x:v>
      </x:c>
      <x:c r="F130" s="2" t="str">
        <x:v>No</x:v>
      </x:c>
      <x:c r="G130" s="2" t="str"/>
    </x:row>
    <x:row r="131" ht="23" customHeight="1">
      <x:c r="A131" s="2" t="str">
        <x:v>INV00127</x:v>
      </x:c>
      <x:c r="B131" s="2" t="str">
        <x:v>C026</x:v>
      </x:c>
      <x:c r="C131" s="10" t="d">
        <x:v>2026-04-23T00:00:00.000Z</x:v>
      </x:c>
      <x:c r="D131" s="10" t="d">
        <x:v>2026-05-23T00:00:00.000Z</x:v>
      </x:c>
      <x:c r="E131" s="11" t="n">
        <x:v>18433.17</x:v>
      </x:c>
      <x:c r="F131" s="2" t="str">
        <x:v>No</x:v>
      </x:c>
      <x:c r="G131" s="2" t="str"/>
    </x:row>
    <x:row r="132" ht="23" customHeight="1">
      <x:c r="A132" s="2" t="str">
        <x:v>INV00128</x:v>
      </x:c>
      <x:c r="B132" s="2" t="str">
        <x:v>C003</x:v>
      </x:c>
      <x:c r="C132" s="10" t="d">
        <x:v>2026-08-11T00:00:00.000Z</x:v>
      </x:c>
      <x:c r="D132" s="10" t="d">
        <x:v>2026-10-10T00:00:00.000Z</x:v>
      </x:c>
      <x:c r="E132" s="11" t="n">
        <x:v>9086.92</x:v>
      </x:c>
      <x:c r="F132" s="2" t="str">
        <x:v>No</x:v>
      </x:c>
      <x:c r="G132" s="2" t="str"/>
    </x:row>
    <x:row r="133" ht="23" customHeight="1">
      <x:c r="A133" s="2" t="str">
        <x:v>INV00129</x:v>
      </x:c>
      <x:c r="B133" s="2" t="str">
        <x:v>C021</x:v>
      </x:c>
      <x:c r="C133" s="10" t="d">
        <x:v>2026-06-01T00:00:00.000Z</x:v>
      </x:c>
      <x:c r="D133" s="10" t="d">
        <x:v>2026-07-01T00:00:00.000Z</x:v>
      </x:c>
      <x:c r="E133" s="11" t="n">
        <x:v>9233.01</x:v>
      </x:c>
      <x:c r="F133" s="2" t="str">
        <x:v>No</x:v>
      </x:c>
      <x:c r="G133" s="2" t="str"/>
    </x:row>
    <x:row r="134" ht="23" customHeight="1">
      <x:c r="A134" s="2" t="str">
        <x:v>INV00130</x:v>
      </x:c>
      <x:c r="B134" s="2" t="str">
        <x:v>C019</x:v>
      </x:c>
      <x:c r="C134" s="10" t="d">
        <x:v>2026-06-02T00:00:00.000Z</x:v>
      </x:c>
      <x:c r="D134" s="10" t="d">
        <x:v>2026-06-17T00:00:00.000Z</x:v>
      </x:c>
      <x:c r="E134" s="11" t="n">
        <x:v>16442.57</x:v>
      </x:c>
      <x:c r="F134" s="2" t="str">
        <x:v>No</x:v>
      </x:c>
      <x:c r="G134" s="2" t="str"/>
    </x:row>
    <x:row r="135" ht="23" customHeight="1">
      <x:c r="A135" s="2" t="str">
        <x:v>INV00131</x:v>
      </x:c>
      <x:c r="B135" s="2" t="str">
        <x:v>C018</x:v>
      </x:c>
      <x:c r="C135" s="10" t="d">
        <x:v>2026-05-29T00:00:00.000Z</x:v>
      </x:c>
      <x:c r="D135" s="10" t="d">
        <x:v>2026-07-13T00:00:00.000Z</x:v>
      </x:c>
      <x:c r="E135" s="11" t="n">
        <x:v>12281.29</x:v>
      </x:c>
      <x:c r="F135" s="2" t="str">
        <x:v>No</x:v>
      </x:c>
      <x:c r="G135" s="2" t="str"/>
    </x:row>
    <x:row r="136" ht="23" customHeight="1">
      <x:c r="A136" s="2" t="str">
        <x:v>INV00132</x:v>
      </x:c>
      <x:c r="B136" s="2" t="str">
        <x:v>C003</x:v>
      </x:c>
      <x:c r="C136" s="10" t="d">
        <x:v>2026-07-17T00:00:00.000Z</x:v>
      </x:c>
      <x:c r="D136" s="10" t="d">
        <x:v>2026-08-16T00:00:00.000Z</x:v>
      </x:c>
      <x:c r="E136" s="11" t="n">
        <x:v>13963.68</x:v>
      </x:c>
      <x:c r="F136" s="2" t="str">
        <x:v>Yes</x:v>
      </x:c>
      <x:c r="G136" s="2" t="str">
        <x:v>Service acceptance pending</x:v>
      </x:c>
    </x:row>
    <x:row r="137" ht="23" customHeight="1">
      <x:c r="A137" s="2" t="str">
        <x:v>INV00133</x:v>
      </x:c>
      <x:c r="B137" s="2" t="str">
        <x:v>C031</x:v>
      </x:c>
      <x:c r="C137" s="10" t="d">
        <x:v>2026-06-18T00:00:00.000Z</x:v>
      </x:c>
      <x:c r="D137" s="10" t="d">
        <x:v>2026-08-02T00:00:00.000Z</x:v>
      </x:c>
      <x:c r="E137" s="11" t="n">
        <x:v>7703.05</x:v>
      </x:c>
      <x:c r="F137" s="2" t="str">
        <x:v>No</x:v>
      </x:c>
      <x:c r="G137" s="2" t="str"/>
    </x:row>
    <x:row r="138" ht="23" customHeight="1">
      <x:c r="A138" s="2" t="str">
        <x:v>INV00134</x:v>
      </x:c>
      <x:c r="B138" s="2" t="str">
        <x:v>C020</x:v>
      </x:c>
      <x:c r="C138" s="10" t="d">
        <x:v>2026-02-03T00:00:00.000Z</x:v>
      </x:c>
      <x:c r="D138" s="10" t="d">
        <x:v>2026-03-05T00:00:00.000Z</x:v>
      </x:c>
      <x:c r="E138" s="11" t="n">
        <x:v>16751.01</x:v>
      </x:c>
      <x:c r="F138" s="2" t="str">
        <x:v>Yes</x:v>
      </x:c>
      <x:c r="G138" s="2" t="str">
        <x:v>Service acceptance pending</x:v>
      </x:c>
    </x:row>
    <x:row r="139" ht="23" customHeight="1">
      <x:c r="A139" s="2" t="str">
        <x:v>INV00135</x:v>
      </x:c>
      <x:c r="B139" s="2" t="str">
        <x:v>C001</x:v>
      </x:c>
      <x:c r="C139" s="10" t="d">
        <x:v>2026-08-30T00:00:00.000Z</x:v>
      </x:c>
      <x:c r="D139" s="10" t="d">
        <x:v>2026-10-29T00:00:00.000Z</x:v>
      </x:c>
      <x:c r="E139" s="11" t="n">
        <x:v>19164.04</x:v>
      </x:c>
      <x:c r="F139" s="2" t="str">
        <x:v>No</x:v>
      </x:c>
      <x:c r="G139" s="2" t="str"/>
    </x:row>
    <x:row r="140" ht="23" customHeight="1">
      <x:c r="A140" s="2" t="str">
        <x:v>INV00136</x:v>
      </x:c>
      <x:c r="B140" s="2" t="str">
        <x:v>C020</x:v>
      </x:c>
      <x:c r="C140" s="10" t="d">
        <x:v>2026-04-06T00:00:00.000Z</x:v>
      </x:c>
      <x:c r="D140" s="10" t="d">
        <x:v>2026-05-06T00:00:00.000Z</x:v>
      </x:c>
      <x:c r="E140" s="11" t="n">
        <x:v>17579.86</x:v>
      </x:c>
      <x:c r="F140" s="2" t="str">
        <x:v>No</x:v>
      </x:c>
      <x:c r="G140" s="2" t="str"/>
    </x:row>
    <x:row r="141" ht="23" customHeight="1">
      <x:c r="A141" s="2" t="str">
        <x:v>INV00137</x:v>
      </x:c>
      <x:c r="B141" s="2" t="str">
        <x:v>C039</x:v>
      </x:c>
      <x:c r="C141" s="10" t="d">
        <x:v>2026-06-18T00:00:00.000Z</x:v>
      </x:c>
      <x:c r="D141" s="10" t="d">
        <x:v>2026-07-18T00:00:00.000Z</x:v>
      </x:c>
      <x:c r="E141" s="11" t="n">
        <x:v>2359.5</x:v>
      </x:c>
      <x:c r="F141" s="2" t="str">
        <x:v>No</x:v>
      </x:c>
      <x:c r="G141" s="2" t="str"/>
    </x:row>
    <x:row r="142" ht="23" customHeight="1">
      <x:c r="A142" s="2" t="str">
        <x:v>INV00138</x:v>
      </x:c>
      <x:c r="B142" s="2" t="str">
        <x:v>C009</x:v>
      </x:c>
      <x:c r="C142" s="10" t="d">
        <x:v>2026-05-21T00:00:00.000Z</x:v>
      </x:c>
      <x:c r="D142" s="10" t="d">
        <x:v>2026-06-20T00:00:00.000Z</x:v>
      </x:c>
      <x:c r="E142" s="11" t="n">
        <x:v>16139.26</x:v>
      </x:c>
      <x:c r="F142" s="2" t="str">
        <x:v>No</x:v>
      </x:c>
      <x:c r="G142" s="2" t="str"/>
    </x:row>
    <x:row r="143" ht="23" customHeight="1">
      <x:c r="A143" s="2" t="str">
        <x:v>INV00139</x:v>
      </x:c>
      <x:c r="B143" s="2" t="str">
        <x:v>C029</x:v>
      </x:c>
      <x:c r="C143" s="10" t="d">
        <x:v>2026-07-09T00:00:00.000Z</x:v>
      </x:c>
      <x:c r="D143" s="10" t="d">
        <x:v>2026-07-24T00:00:00.000Z</x:v>
      </x:c>
      <x:c r="E143" s="11" t="n">
        <x:v>16664.65</x:v>
      </x:c>
      <x:c r="F143" s="2" t="str">
        <x:v>No</x:v>
      </x:c>
      <x:c r="G143" s="2" t="str"/>
    </x:row>
    <x:row r="144" ht="23" customHeight="1">
      <x:c r="A144" s="2" t="str">
        <x:v>INV00140</x:v>
      </x:c>
      <x:c r="B144" s="2" t="str">
        <x:v>C003</x:v>
      </x:c>
      <x:c r="C144" s="10" t="d">
        <x:v>2026-03-06T00:00:00.000Z</x:v>
      </x:c>
      <x:c r="D144" s="10" t="d">
        <x:v>2026-04-20T00:00:00.000Z</x:v>
      </x:c>
      <x:c r="E144" s="11" t="n">
        <x:v>1355.39</x:v>
      </x:c>
      <x:c r="F144" s="2" t="str">
        <x:v>Yes</x:v>
      </x:c>
      <x:c r="G144" s="2" t="str">
        <x:v>Invoice detail query</x:v>
      </x:c>
    </x:row>
    <x:row r="145" ht="23" customHeight="1">
      <x:c r="A145" s="2" t="str">
        <x:v>INV00141</x:v>
      </x:c>
      <x:c r="B145" s="2" t="str">
        <x:v>C027</x:v>
      </x:c>
      <x:c r="C145" s="10" t="d">
        <x:v>2026-01-11T00:00:00.000Z</x:v>
      </x:c>
      <x:c r="D145" s="10" t="d">
        <x:v>2026-01-26T00:00:00.000Z</x:v>
      </x:c>
      <x:c r="E145" s="11" t="n">
        <x:v>10123.37</x:v>
      </x:c>
      <x:c r="F145" s="2" t="str">
        <x:v>No</x:v>
      </x:c>
      <x:c r="G145" s="2" t="str"/>
    </x:row>
    <x:row r="146" ht="23" customHeight="1">
      <x:c r="A146" s="2" t="str">
        <x:v>INV00142</x:v>
      </x:c>
      <x:c r="B146" s="2" t="str">
        <x:v>C005</x:v>
      </x:c>
      <x:c r="C146" s="10" t="d">
        <x:v>2026-02-23T00:00:00.000Z</x:v>
      </x:c>
      <x:c r="D146" s="10" t="d">
        <x:v>2026-04-09T00:00:00.000Z</x:v>
      </x:c>
      <x:c r="E146" s="11" t="n">
        <x:v>5723.31</x:v>
      </x:c>
      <x:c r="F146" s="2" t="str">
        <x:v>No</x:v>
      </x:c>
      <x:c r="G146" s="2" t="str"/>
    </x:row>
    <x:row r="147" ht="23" customHeight="1">
      <x:c r="A147" s="2" t="str">
        <x:v>INV00143</x:v>
      </x:c>
      <x:c r="B147" s="2" t="str">
        <x:v>C019</x:v>
      </x:c>
      <x:c r="C147" s="10" t="d">
        <x:v>2026-04-17T00:00:00.000Z</x:v>
      </x:c>
      <x:c r="D147" s="10" t="d">
        <x:v>2026-05-17T00:00:00.000Z</x:v>
      </x:c>
      <x:c r="E147" s="11" t="n">
        <x:v>4811.9</x:v>
      </x:c>
      <x:c r="F147" s="2" t="str">
        <x:v>No</x:v>
      </x:c>
      <x:c r="G147" s="2" t="str"/>
    </x:row>
    <x:row r="148" ht="23" customHeight="1">
      <x:c r="A148" s="2" t="str">
        <x:v>INV00144</x:v>
      </x:c>
      <x:c r="B148" s="2" t="str">
        <x:v>C012</x:v>
      </x:c>
      <x:c r="C148" s="10" t="d">
        <x:v>2026-01-15T00:00:00.000Z</x:v>
      </x:c>
      <x:c r="D148" s="10" t="d">
        <x:v>2026-03-01T00:00:00.000Z</x:v>
      </x:c>
      <x:c r="E148" s="11" t="n">
        <x:v>5475.42</x:v>
      </x:c>
      <x:c r="F148" s="2" t="str">
        <x:v>Yes</x:v>
      </x:c>
      <x:c r="G148" s="2" t="str">
        <x:v>Invoice detail query</x:v>
      </x:c>
    </x:row>
    <x:row r="149" ht="23" customHeight="1">
      <x:c r="A149" s="2" t="str">
        <x:v>INV00145</x:v>
      </x:c>
      <x:c r="B149" s="2" t="str">
        <x:v>C007</x:v>
      </x:c>
      <x:c r="C149" s="10" t="d">
        <x:v>2026-04-18T00:00:00.000Z</x:v>
      </x:c>
      <x:c r="D149" s="10" t="d">
        <x:v>2026-06-02T00:00:00.000Z</x:v>
      </x:c>
      <x:c r="E149" s="11" t="n">
        <x:v>13882.69</x:v>
      </x:c>
      <x:c r="F149" s="2" t="str">
        <x:v>No</x:v>
      </x:c>
      <x:c r="G149" s="2" t="str"/>
    </x:row>
    <x:row r="150" ht="23" customHeight="1">
      <x:c r="A150" s="2" t="str">
        <x:v>INV00146</x:v>
      </x:c>
      <x:c r="B150" s="2" t="str">
        <x:v>C008</x:v>
      </x:c>
      <x:c r="C150" s="10" t="d">
        <x:v>2026-06-28T00:00:00.000Z</x:v>
      </x:c>
      <x:c r="D150" s="10" t="d">
        <x:v>2026-07-13T00:00:00.000Z</x:v>
      </x:c>
      <x:c r="E150" s="11" t="n">
        <x:v>2087.47</x:v>
      </x:c>
      <x:c r="F150" s="2" t="str">
        <x:v>No</x:v>
      </x:c>
      <x:c r="G150" s="2" t="str"/>
    </x:row>
    <x:row r="151" ht="23" customHeight="1">
      <x:c r="A151" s="2" t="str">
        <x:v>INV00147</x:v>
      </x:c>
      <x:c r="B151" s="2" t="str">
        <x:v>C021</x:v>
      </x:c>
      <x:c r="C151" s="10" t="d">
        <x:v>2026-02-14T00:00:00.000Z</x:v>
      </x:c>
      <x:c r="D151" s="10" t="d">
        <x:v>2026-03-01T00:00:00.000Z</x:v>
      </x:c>
      <x:c r="E151" s="11" t="n">
        <x:v>11303.17</x:v>
      </x:c>
      <x:c r="F151" s="2" t="str">
        <x:v>No</x:v>
      </x:c>
      <x:c r="G151" s="2" t="str"/>
    </x:row>
    <x:row r="152" ht="23" customHeight="1">
      <x:c r="A152" s="2" t="str">
        <x:v>INV00148</x:v>
      </x:c>
      <x:c r="B152" s="2" t="str">
        <x:v>C020</x:v>
      </x:c>
      <x:c r="C152" s="10" t="d">
        <x:v>2026-07-20T00:00:00.000Z</x:v>
      </x:c>
      <x:c r="D152" s="10" t="d">
        <x:v>2026-08-19T00:00:00.000Z</x:v>
      </x:c>
      <x:c r="E152" s="11" t="n">
        <x:v>17519.7</x:v>
      </x:c>
      <x:c r="F152" s="2" t="str">
        <x:v>No</x:v>
      </x:c>
      <x:c r="G152" s="2" t="str"/>
    </x:row>
    <x:row r="153" ht="23" customHeight="1">
      <x:c r="A153" s="2" t="str">
        <x:v>INV00149</x:v>
      </x:c>
      <x:c r="B153" s="2" t="str">
        <x:v>C039</x:v>
      </x:c>
      <x:c r="C153" s="10" t="d">
        <x:v>2026-09-23T00:00:00.000Z</x:v>
      </x:c>
      <x:c r="D153" s="10" t="d">
        <x:v>2026-11-07T00:00:00.000Z</x:v>
      </x:c>
      <x:c r="E153" s="11" t="n">
        <x:v>18423.91</x:v>
      </x:c>
      <x:c r="F153" s="2" t="str">
        <x:v>No</x:v>
      </x:c>
      <x:c r="G153" s="2" t="str"/>
    </x:row>
    <x:row r="154" ht="23" customHeight="1">
      <x:c r="A154" s="2" t="str">
        <x:v>INV00150</x:v>
      </x:c>
      <x:c r="B154" s="2" t="str">
        <x:v>C027</x:v>
      </x:c>
      <x:c r="C154" s="10" t="d">
        <x:v>2026-05-22T00:00:00.000Z</x:v>
      </x:c>
      <x:c r="D154" s="10" t="d">
        <x:v>2026-06-21T00:00:00.000Z</x:v>
      </x:c>
      <x:c r="E154" s="11" t="n">
        <x:v>10831.5</x:v>
      </x:c>
      <x:c r="F154" s="2" t="str">
        <x:v>No</x:v>
      </x:c>
      <x:c r="G154" s="2" t="str"/>
    </x:row>
    <x:row r="155" ht="23" customHeight="1">
      <x:c r="A155" s="2" t="str">
        <x:v>INV00151</x:v>
      </x:c>
      <x:c r="B155" s="2" t="str">
        <x:v>C039</x:v>
      </x:c>
      <x:c r="C155" s="10" t="d">
        <x:v>2026-02-07T00:00:00.000Z</x:v>
      </x:c>
      <x:c r="D155" s="10" t="d">
        <x:v>2026-04-08T00:00:00.000Z</x:v>
      </x:c>
      <x:c r="E155" s="11" t="n">
        <x:v>4784.74</x:v>
      </x:c>
      <x:c r="F155" s="2" t="str">
        <x:v>No</x:v>
      </x:c>
      <x:c r="G155" s="2" t="str"/>
    </x:row>
    <x:row r="156" ht="23" customHeight="1">
      <x:c r="A156" s="2" t="str">
        <x:v>INV00152</x:v>
      </x:c>
      <x:c r="B156" s="2" t="str">
        <x:v>C017</x:v>
      </x:c>
      <x:c r="C156" s="10" t="d">
        <x:v>2026-04-26T00:00:00.000Z</x:v>
      </x:c>
      <x:c r="D156" s="10" t="d">
        <x:v>2026-05-26T00:00:00.000Z</x:v>
      </x:c>
      <x:c r="E156" s="11" t="n">
        <x:v>19743.48</x:v>
      </x:c>
      <x:c r="F156" s="2" t="str">
        <x:v>Yes</x:v>
      </x:c>
      <x:c r="G156" s="2" t="str">
        <x:v>Pricing query</x:v>
      </x:c>
    </x:row>
    <x:row r="157" ht="23" customHeight="1">
      <x:c r="A157" s="2" t="str">
        <x:v>INV00153</x:v>
      </x:c>
      <x:c r="B157" s="2" t="str">
        <x:v>C023</x:v>
      </x:c>
      <x:c r="C157" s="10" t="d">
        <x:v>2026-03-18T00:00:00.000Z</x:v>
      </x:c>
      <x:c r="D157" s="10" t="d">
        <x:v>2026-04-17T00:00:00.000Z</x:v>
      </x:c>
      <x:c r="E157" s="11" t="n">
        <x:v>4397.22</x:v>
      </x:c>
      <x:c r="F157" s="2" t="str">
        <x:v>No</x:v>
      </x:c>
      <x:c r="G157" s="2" t="str"/>
    </x:row>
    <x:row r="158" ht="23" customHeight="1">
      <x:c r="A158" s="2" t="str">
        <x:v>INV00154</x:v>
      </x:c>
      <x:c r="B158" s="2" t="str">
        <x:v>C039</x:v>
      </x:c>
      <x:c r="C158" s="10" t="d">
        <x:v>2026-04-12T00:00:00.000Z</x:v>
      </x:c>
      <x:c r="D158" s="10" t="d">
        <x:v>2026-05-12T00:00:00.000Z</x:v>
      </x:c>
      <x:c r="E158" s="11" t="n">
        <x:v>11235.41</x:v>
      </x:c>
      <x:c r="F158" s="2" t="str">
        <x:v>No</x:v>
      </x:c>
      <x:c r="G158" s="2" t="str"/>
    </x:row>
    <x:row r="159" ht="23" customHeight="1">
      <x:c r="A159" s="2" t="str">
        <x:v>INV00155</x:v>
      </x:c>
      <x:c r="B159" s="2" t="str">
        <x:v>C026</x:v>
      </x:c>
      <x:c r="C159" s="10" t="d">
        <x:v>2026-09-10T00:00:00.000Z</x:v>
      </x:c>
      <x:c r="D159" s="10" t="d">
        <x:v>2026-10-10T00:00:00.000Z</x:v>
      </x:c>
      <x:c r="E159" s="11" t="n">
        <x:v>10389.45</x:v>
      </x:c>
      <x:c r="F159" s="2" t="str">
        <x:v>No</x:v>
      </x:c>
      <x:c r="G159" s="2" t="str"/>
    </x:row>
    <x:row r="160" ht="23" customHeight="1">
      <x:c r="A160" s="2" t="str">
        <x:v>INV00156</x:v>
      </x:c>
      <x:c r="B160" s="2" t="str">
        <x:v>C027</x:v>
      </x:c>
      <x:c r="C160" s="10" t="d">
        <x:v>2026-07-26T00:00:00.000Z</x:v>
      </x:c>
      <x:c r="D160" s="10" t="d">
        <x:v>2026-09-09T00:00:00.000Z</x:v>
      </x:c>
      <x:c r="E160" s="11" t="n">
        <x:v>4312.27</x:v>
      </x:c>
      <x:c r="F160" s="2" t="str">
        <x:v>No</x:v>
      </x:c>
      <x:c r="G160" s="2" t="str"/>
    </x:row>
    <x:row r="161" ht="23" customHeight="1">
      <x:c r="A161" s="2" t="str">
        <x:v>INV00157</x:v>
      </x:c>
      <x:c r="B161" s="2" t="str">
        <x:v>C036</x:v>
      </x:c>
      <x:c r="C161" s="10" t="d">
        <x:v>2026-02-01T00:00:00.000Z</x:v>
      </x:c>
      <x:c r="D161" s="10" t="d">
        <x:v>2026-03-03T00:00:00.000Z</x:v>
      </x:c>
      <x:c r="E161" s="11" t="n">
        <x:v>19212.36</x:v>
      </x:c>
      <x:c r="F161" s="2" t="str">
        <x:v>No</x:v>
      </x:c>
      <x:c r="G161" s="2" t="str"/>
    </x:row>
    <x:row r="162" ht="23" customHeight="1">
      <x:c r="A162" s="2" t="str">
        <x:v>INV00158</x:v>
      </x:c>
      <x:c r="B162" s="2" t="str">
        <x:v>C038</x:v>
      </x:c>
      <x:c r="C162" s="10" t="d">
        <x:v>2026-08-16T00:00:00.000Z</x:v>
      </x:c>
      <x:c r="D162" s="10" t="d">
        <x:v>2026-09-15T00:00:00.000Z</x:v>
      </x:c>
      <x:c r="E162" s="11" t="n">
        <x:v>656.8</x:v>
      </x:c>
      <x:c r="F162" s="2" t="str">
        <x:v>No</x:v>
      </x:c>
      <x:c r="G162" s="2" t="str"/>
    </x:row>
    <x:row r="163" ht="23" customHeight="1">
      <x:c r="A163" s="2" t="str">
        <x:v>INV00159</x:v>
      </x:c>
      <x:c r="B163" s="2" t="str">
        <x:v>C033</x:v>
      </x:c>
      <x:c r="C163" s="10" t="d">
        <x:v>2026-02-17T00:00:00.000Z</x:v>
      </x:c>
      <x:c r="D163" s="10" t="d">
        <x:v>2026-03-04T00:00:00.000Z</x:v>
      </x:c>
      <x:c r="E163" s="11" t="n">
        <x:v>11569.78</x:v>
      </x:c>
      <x:c r="F163" s="2" t="str">
        <x:v>No</x:v>
      </x:c>
      <x:c r="G163" s="2" t="str"/>
    </x:row>
    <x:row r="164" ht="23" customHeight="1">
      <x:c r="A164" s="2" t="str">
        <x:v>INV00160</x:v>
      </x:c>
      <x:c r="B164" s="2" t="str">
        <x:v>C039</x:v>
      </x:c>
      <x:c r="C164" s="10" t="d">
        <x:v>2026-08-29T00:00:00.000Z</x:v>
      </x:c>
      <x:c r="D164" s="10" t="d">
        <x:v>2026-10-28T00:00:00.000Z</x:v>
      </x:c>
      <x:c r="E164" s="11" t="n">
        <x:v>1693.15</x:v>
      </x:c>
      <x:c r="F164" s="2" t="str">
        <x:v>No</x:v>
      </x:c>
      <x:c r="G164" s="2" t="str"/>
    </x:row>
    <x:row r="165" ht="23" customHeight="1">
      <x:c r="A165" s="2" t="str">
        <x:v>INV00161</x:v>
      </x:c>
      <x:c r="B165" s="2" t="str">
        <x:v>C031</x:v>
      </x:c>
      <x:c r="C165" s="10" t="d">
        <x:v>2026-03-27T00:00:00.000Z</x:v>
      </x:c>
      <x:c r="D165" s="10" t="d">
        <x:v>2026-05-26T00:00:00.000Z</x:v>
      </x:c>
      <x:c r="E165" s="11" t="n">
        <x:v>18906.04</x:v>
      </x:c>
      <x:c r="F165" s="2" t="str">
        <x:v>No</x:v>
      </x:c>
      <x:c r="G165" s="2" t="str"/>
    </x:row>
    <x:row r="166" ht="23" customHeight="1">
      <x:c r="A166" s="2" t="str">
        <x:v>INV00162</x:v>
      </x:c>
      <x:c r="B166" s="2" t="str">
        <x:v>C034</x:v>
      </x:c>
      <x:c r="C166" s="10" t="d">
        <x:v>2026-09-12T00:00:00.000Z</x:v>
      </x:c>
      <x:c r="D166" s="10" t="d">
        <x:v>2026-11-11T00:00:00.000Z</x:v>
      </x:c>
      <x:c r="E166" s="11" t="n">
        <x:v>3863.66</x:v>
      </x:c>
      <x:c r="F166" s="2" t="str">
        <x:v>No</x:v>
      </x:c>
      <x:c r="G166" s="2" t="str"/>
    </x:row>
    <x:row r="167" ht="23" customHeight="1">
      <x:c r="A167" s="2" t="str">
        <x:v>INV00163</x:v>
      </x:c>
      <x:c r="B167" s="2" t="str">
        <x:v>C021</x:v>
      </x:c>
      <x:c r="C167" s="10" t="d">
        <x:v>2026-07-16T00:00:00.000Z</x:v>
      </x:c>
      <x:c r="D167" s="10" t="d">
        <x:v>2026-08-15T00:00:00.000Z</x:v>
      </x:c>
      <x:c r="E167" s="11" t="n">
        <x:v>18280.66</x:v>
      </x:c>
      <x:c r="F167" s="2" t="str">
        <x:v>No</x:v>
      </x:c>
      <x:c r="G167" s="2" t="str"/>
    </x:row>
    <x:row r="168" ht="23" customHeight="1">
      <x:c r="A168" s="2" t="str">
        <x:v>INV00164</x:v>
      </x:c>
      <x:c r="B168" s="2" t="str">
        <x:v>C030</x:v>
      </x:c>
      <x:c r="C168" s="10" t="d">
        <x:v>2026-01-29T00:00:00.000Z</x:v>
      </x:c>
      <x:c r="D168" s="10" t="d">
        <x:v>2026-02-28T00:00:00.000Z</x:v>
      </x:c>
      <x:c r="E168" s="11" t="n">
        <x:v>13926</x:v>
      </x:c>
      <x:c r="F168" s="2" t="str">
        <x:v>No</x:v>
      </x:c>
      <x:c r="G168" s="2" t="str"/>
    </x:row>
    <x:row r="169" ht="23" customHeight="1">
      <x:c r="A169" s="2" t="str">
        <x:v>INV00165</x:v>
      </x:c>
      <x:c r="B169" s="2" t="str">
        <x:v>C032</x:v>
      </x:c>
      <x:c r="C169" s="10" t="d">
        <x:v>2026-09-09T00:00:00.000Z</x:v>
      </x:c>
      <x:c r="D169" s="10" t="d">
        <x:v>2026-10-24T00:00:00.000Z</x:v>
      </x:c>
      <x:c r="E169" s="11" t="n">
        <x:v>3292.8</x:v>
      </x:c>
      <x:c r="F169" s="2" t="str">
        <x:v>No</x:v>
      </x:c>
      <x:c r="G169" s="2" t="str"/>
    </x:row>
    <x:row r="170" ht="23" customHeight="1">
      <x:c r="A170" s="2" t="str">
        <x:v>INV00166</x:v>
      </x:c>
      <x:c r="B170" s="2" t="str">
        <x:v>C021</x:v>
      </x:c>
      <x:c r="C170" s="10" t="d">
        <x:v>2026-05-05T00:00:00.000Z</x:v>
      </x:c>
      <x:c r="D170" s="10" t="d">
        <x:v>2026-07-04T00:00:00.000Z</x:v>
      </x:c>
      <x:c r="E170" s="11" t="n">
        <x:v>3459.9</x:v>
      </x:c>
      <x:c r="F170" s="2" t="str">
        <x:v>No</x:v>
      </x:c>
      <x:c r="G170" s="2" t="str"/>
    </x:row>
    <x:row r="171" ht="23" customHeight="1">
      <x:c r="A171" s="2" t="str">
        <x:v>INV00167</x:v>
      </x:c>
      <x:c r="B171" s="2" t="str">
        <x:v>C019</x:v>
      </x:c>
      <x:c r="C171" s="10" t="d">
        <x:v>2026-03-26T00:00:00.000Z</x:v>
      </x:c>
      <x:c r="D171" s="10" t="d">
        <x:v>2026-04-10T00:00:00.000Z</x:v>
      </x:c>
      <x:c r="E171" s="11" t="n">
        <x:v>8593.43</x:v>
      </x:c>
      <x:c r="F171" s="2" t="str">
        <x:v>Yes</x:v>
      </x:c>
      <x:c r="G171" s="2" t="str">
        <x:v>Pricing query</x:v>
      </x:c>
    </x:row>
    <x:row r="172" ht="23" customHeight="1">
      <x:c r="A172" s="2" t="str">
        <x:v>INV00168</x:v>
      </x:c>
      <x:c r="B172" s="2" t="str">
        <x:v>C009</x:v>
      </x:c>
      <x:c r="C172" s="10" t="d">
        <x:v>2026-06-24T00:00:00.000Z</x:v>
      </x:c>
      <x:c r="D172" s="10" t="d">
        <x:v>2026-08-23T00:00:00.000Z</x:v>
      </x:c>
      <x:c r="E172" s="11" t="n">
        <x:v>5340.14</x:v>
      </x:c>
      <x:c r="F172" s="2" t="str">
        <x:v>No</x:v>
      </x:c>
      <x:c r="G172" s="2" t="str"/>
    </x:row>
    <x:row r="173" ht="23" customHeight="1">
      <x:c r="A173" s="2" t="str">
        <x:v>INV00169</x:v>
      </x:c>
      <x:c r="B173" s="2" t="str">
        <x:v>C035</x:v>
      </x:c>
      <x:c r="C173" s="10" t="d">
        <x:v>2026-01-20T00:00:00.000Z</x:v>
      </x:c>
      <x:c r="D173" s="10" t="d">
        <x:v>2026-03-06T00:00:00.000Z</x:v>
      </x:c>
      <x:c r="E173" s="11" t="n">
        <x:v>19391.84</x:v>
      </x:c>
      <x:c r="F173" s="2" t="str">
        <x:v>No</x:v>
      </x:c>
      <x:c r="G173" s="2" t="str"/>
    </x:row>
    <x:row r="174" ht="23" customHeight="1">
      <x:c r="A174" s="2" t="str">
        <x:v>INV00170</x:v>
      </x:c>
      <x:c r="B174" s="2" t="str">
        <x:v>C012</x:v>
      </x:c>
      <x:c r="C174" s="10" t="d">
        <x:v>2026-04-07T00:00:00.000Z</x:v>
      </x:c>
      <x:c r="D174" s="10" t="d">
        <x:v>2026-05-07T00:00:00.000Z</x:v>
      </x:c>
      <x:c r="E174" s="11" t="n">
        <x:v>3208.58</x:v>
      </x:c>
      <x:c r="F174" s="2" t="str">
        <x:v>No</x:v>
      </x:c>
      <x:c r="G174" s="2" t="str"/>
    </x:row>
    <x:row r="175" ht="23" customHeight="1">
      <x:c r="A175" s="2" t="str">
        <x:v>INV00171</x:v>
      </x:c>
      <x:c r="B175" s="2" t="str">
        <x:v>C038</x:v>
      </x:c>
      <x:c r="C175" s="10" t="d">
        <x:v>2026-05-09T00:00:00.000Z</x:v>
      </x:c>
      <x:c r="D175" s="10" t="d">
        <x:v>2026-06-08T00:00:00.000Z</x:v>
      </x:c>
      <x:c r="E175" s="11" t="n">
        <x:v>17624.04</x:v>
      </x:c>
      <x:c r="F175" s="2" t="str">
        <x:v>No</x:v>
      </x:c>
      <x:c r="G175" s="2" t="str"/>
    </x:row>
    <x:row r="176" ht="23" customHeight="1">
      <x:c r="A176" s="2" t="str">
        <x:v>INV00172</x:v>
      </x:c>
      <x:c r="B176" s="2" t="str">
        <x:v>C016</x:v>
      </x:c>
      <x:c r="C176" s="10" t="d">
        <x:v>2026-07-16T00:00:00.000Z</x:v>
      </x:c>
      <x:c r="D176" s="10" t="d">
        <x:v>2026-08-15T00:00:00.000Z</x:v>
      </x:c>
      <x:c r="E176" s="11" t="n">
        <x:v>9199.73</x:v>
      </x:c>
      <x:c r="F176" s="2" t="str">
        <x:v>No</x:v>
      </x:c>
      <x:c r="G176" s="2" t="str"/>
    </x:row>
    <x:row r="177" ht="23" customHeight="1">
      <x:c r="A177" s="2" t="str">
        <x:v>INV00173</x:v>
      </x:c>
      <x:c r="B177" s="2" t="str">
        <x:v>C028</x:v>
      </x:c>
      <x:c r="C177" s="10" t="d">
        <x:v>2026-04-10T00:00:00.000Z</x:v>
      </x:c>
      <x:c r="D177" s="10" t="d">
        <x:v>2026-05-25T00:00:00.000Z</x:v>
      </x:c>
      <x:c r="E177" s="11" t="n">
        <x:v>9432.19</x:v>
      </x:c>
      <x:c r="F177" s="2" t="str">
        <x:v>No</x:v>
      </x:c>
      <x:c r="G177" s="2" t="str"/>
    </x:row>
    <x:row r="178" ht="23" customHeight="1">
      <x:c r="A178" s="2" t="str">
        <x:v>INV00174</x:v>
      </x:c>
      <x:c r="B178" s="2" t="str">
        <x:v>C026</x:v>
      </x:c>
      <x:c r="C178" s="10" t="d">
        <x:v>2026-07-12T00:00:00.000Z</x:v>
      </x:c>
      <x:c r="D178" s="10" t="d">
        <x:v>2026-08-11T00:00:00.000Z</x:v>
      </x:c>
      <x:c r="E178" s="11" t="n">
        <x:v>8068.41</x:v>
      </x:c>
      <x:c r="F178" s="2" t="str">
        <x:v>No</x:v>
      </x:c>
      <x:c r="G178" s="2" t="str"/>
    </x:row>
    <x:row r="179" ht="23" customHeight="1">
      <x:c r="A179" s="2" t="str">
        <x:v>INV00175</x:v>
      </x:c>
      <x:c r="B179" s="2" t="str">
        <x:v>C020</x:v>
      </x:c>
      <x:c r="C179" s="10" t="d">
        <x:v>2026-05-20T00:00:00.000Z</x:v>
      </x:c>
      <x:c r="D179" s="10" t="d">
        <x:v>2026-07-04T00:00:00.000Z</x:v>
      </x:c>
      <x:c r="E179" s="11" t="n">
        <x:v>13060.33</x:v>
      </x:c>
      <x:c r="F179" s="2" t="str">
        <x:v>No</x:v>
      </x:c>
      <x:c r="G179" s="2" t="str"/>
    </x:row>
    <x:row r="180" ht="23" customHeight="1">
      <x:c r="A180" s="2" t="str">
        <x:v>INV00176</x:v>
      </x:c>
      <x:c r="B180" s="2" t="str">
        <x:v>C018</x:v>
      </x:c>
      <x:c r="C180" s="10" t="d">
        <x:v>2026-09-12T00:00:00.000Z</x:v>
      </x:c>
      <x:c r="D180" s="10" t="d">
        <x:v>2026-10-12T00:00:00.000Z</x:v>
      </x:c>
      <x:c r="E180" s="11" t="n">
        <x:v>10998.08</x:v>
      </x:c>
      <x:c r="F180" s="2" t="str">
        <x:v>No</x:v>
      </x:c>
      <x:c r="G180" s="2" t="str"/>
    </x:row>
    <x:row r="181" ht="23" customHeight="1">
      <x:c r="A181" s="2" t="str">
        <x:v>INV00177</x:v>
      </x:c>
      <x:c r="B181" s="2" t="str">
        <x:v>C016</x:v>
      </x:c>
      <x:c r="C181" s="10" t="d">
        <x:v>2026-01-30T00:00:00.000Z</x:v>
      </x:c>
      <x:c r="D181" s="10" t="d">
        <x:v>2026-03-31T00:00:00.000Z</x:v>
      </x:c>
      <x:c r="E181" s="11" t="n">
        <x:v>2570.5</x:v>
      </x:c>
      <x:c r="F181" s="2" t="str">
        <x:v>No</x:v>
      </x:c>
      <x:c r="G181" s="2" t="str"/>
    </x:row>
    <x:row r="182" ht="23" customHeight="1">
      <x:c r="A182" s="2" t="str">
        <x:v>INV00178</x:v>
      </x:c>
      <x:c r="B182" s="2" t="str">
        <x:v>C018</x:v>
      </x:c>
      <x:c r="C182" s="10" t="d">
        <x:v>2026-08-30T00:00:00.000Z</x:v>
      </x:c>
      <x:c r="D182" s="10" t="d">
        <x:v>2026-09-29T00:00:00.000Z</x:v>
      </x:c>
      <x:c r="E182" s="11" t="n">
        <x:v>14670.46</x:v>
      </x:c>
      <x:c r="F182" s="2" t="str">
        <x:v>No</x:v>
      </x:c>
      <x:c r="G182" s="2" t="str"/>
    </x:row>
    <x:row r="183" ht="23" customHeight="1">
      <x:c r="A183" s="2" t="str">
        <x:v>INV00179</x:v>
      </x:c>
      <x:c r="B183" s="2" t="str">
        <x:v>C022</x:v>
      </x:c>
      <x:c r="C183" s="10" t="d">
        <x:v>2026-06-02T00:00:00.000Z</x:v>
      </x:c>
      <x:c r="D183" s="10" t="d">
        <x:v>2026-06-17T00:00:00.000Z</x:v>
      </x:c>
      <x:c r="E183" s="11" t="n">
        <x:v>9609.01</x:v>
      </x:c>
      <x:c r="F183" s="2" t="str">
        <x:v>No</x:v>
      </x:c>
      <x:c r="G183" s="2" t="str"/>
    </x:row>
    <x:row r="184" ht="23" customHeight="1">
      <x:c r="A184" s="2" t="str">
        <x:v>INV00180</x:v>
      </x:c>
      <x:c r="B184" s="2" t="str">
        <x:v>C039</x:v>
      </x:c>
      <x:c r="C184" s="10" t="d">
        <x:v>2026-03-25T00:00:00.000Z</x:v>
      </x:c>
      <x:c r="D184" s="10" t="d">
        <x:v>2026-05-09T00:00:00.000Z</x:v>
      </x:c>
      <x:c r="E184" s="11" t="n">
        <x:v>6376.26</x:v>
      </x:c>
      <x:c r="F184" s="2" t="str">
        <x:v>No</x:v>
      </x:c>
      <x:c r="G184" s="2" t="str"/>
    </x:row>
    <x:row r="185" ht="23" customHeight="1">
      <x:c r="A185" s="2" t="str">
        <x:v>INV00181</x:v>
      </x:c>
      <x:c r="B185" s="2" t="str">
        <x:v>C012</x:v>
      </x:c>
      <x:c r="C185" s="10" t="d">
        <x:v>2026-09-29T00:00:00.000Z</x:v>
      </x:c>
      <x:c r="D185" s="10" t="d">
        <x:v>2026-10-29T00:00:00.000Z</x:v>
      </x:c>
      <x:c r="E185" s="11" t="n">
        <x:v>3429.55</x:v>
      </x:c>
      <x:c r="F185" s="2" t="str">
        <x:v>No</x:v>
      </x:c>
      <x:c r="G185" s="2" t="str"/>
    </x:row>
    <x:row r="186" ht="23" customHeight="1">
      <x:c r="A186" s="2" t="str">
        <x:v>INV00182</x:v>
      </x:c>
      <x:c r="B186" s="2" t="str">
        <x:v>C016</x:v>
      </x:c>
      <x:c r="C186" s="10" t="d">
        <x:v>2026-03-03T00:00:00.000Z</x:v>
      </x:c>
      <x:c r="D186" s="10" t="d">
        <x:v>2026-04-17T00:00:00.000Z</x:v>
      </x:c>
      <x:c r="E186" s="11" t="n">
        <x:v>16781.62</x:v>
      </x:c>
      <x:c r="F186" s="2" t="str">
        <x:v>No</x:v>
      </x:c>
      <x:c r="G186" s="2" t="str"/>
    </x:row>
    <x:row r="187" ht="23" customHeight="1">
      <x:c r="A187" s="2" t="str">
        <x:v>INV00183</x:v>
      </x:c>
      <x:c r="B187" s="2" t="str">
        <x:v>C022</x:v>
      </x:c>
      <x:c r="C187" s="10" t="d">
        <x:v>2026-07-09T00:00:00.000Z</x:v>
      </x:c>
      <x:c r="D187" s="10" t="d">
        <x:v>2026-08-08T00:00:00.000Z</x:v>
      </x:c>
      <x:c r="E187" s="11" t="n">
        <x:v>7796.13</x:v>
      </x:c>
      <x:c r="F187" s="2" t="str">
        <x:v>No</x:v>
      </x:c>
      <x:c r="G187" s="2" t="str"/>
    </x:row>
    <x:row r="188" ht="23" customHeight="1">
      <x:c r="A188" s="2" t="str">
        <x:v>INV00184</x:v>
      </x:c>
      <x:c r="B188" s="2" t="str">
        <x:v>C034</x:v>
      </x:c>
      <x:c r="C188" s="10" t="d">
        <x:v>2026-03-30T00:00:00.000Z</x:v>
      </x:c>
      <x:c r="D188" s="10" t="d">
        <x:v>2026-04-29T00:00:00.000Z</x:v>
      </x:c>
      <x:c r="E188" s="11" t="n">
        <x:v>10097.13</x:v>
      </x:c>
      <x:c r="F188" s="2" t="str">
        <x:v>No</x:v>
      </x:c>
      <x:c r="G188" s="2" t="str"/>
    </x:row>
    <x:row r="189" ht="23" customHeight="1">
      <x:c r="A189" s="2" t="str">
        <x:v>INV00185</x:v>
      </x:c>
      <x:c r="B189" s="2" t="str">
        <x:v>C018</x:v>
      </x:c>
      <x:c r="C189" s="10" t="d">
        <x:v>2026-09-21T00:00:00.000Z</x:v>
      </x:c>
      <x:c r="D189" s="10" t="d">
        <x:v>2026-11-05T00:00:00.000Z</x:v>
      </x:c>
      <x:c r="E189" s="11" t="n">
        <x:v>11495.16</x:v>
      </x:c>
      <x:c r="F189" s="2" t="str">
        <x:v>No</x:v>
      </x:c>
      <x:c r="G189" s="2" t="str"/>
    </x:row>
    <x:row r="190" ht="23" customHeight="1">
      <x:c r="A190" s="2" t="str">
        <x:v>INV00186</x:v>
      </x:c>
      <x:c r="B190" s="2" t="str">
        <x:v>C007</x:v>
      </x:c>
      <x:c r="C190" s="10" t="d">
        <x:v>2026-04-09T00:00:00.000Z</x:v>
      </x:c>
      <x:c r="D190" s="10" t="d">
        <x:v>2026-04-24T00:00:00.000Z</x:v>
      </x:c>
      <x:c r="E190" s="11" t="n">
        <x:v>14388.34</x:v>
      </x:c>
      <x:c r="F190" s="2" t="str">
        <x:v>No</x:v>
      </x:c>
      <x:c r="G190" s="2" t="str"/>
    </x:row>
    <x:row r="191" ht="23" customHeight="1">
      <x:c r="A191" s="2" t="str">
        <x:v>INV00187</x:v>
      </x:c>
      <x:c r="B191" s="2" t="str">
        <x:v>C009</x:v>
      </x:c>
      <x:c r="C191" s="10" t="d">
        <x:v>2026-08-30T00:00:00.000Z</x:v>
      </x:c>
      <x:c r="D191" s="10" t="d">
        <x:v>2026-10-29T00:00:00.000Z</x:v>
      </x:c>
      <x:c r="E191" s="11" t="n">
        <x:v>19726.19</x:v>
      </x:c>
      <x:c r="F191" s="2" t="str">
        <x:v>No</x:v>
      </x:c>
      <x:c r="G191" s="2" t="str"/>
    </x:row>
    <x:row r="192" ht="23" customHeight="1">
      <x:c r="A192" s="2" t="str">
        <x:v>INV00188</x:v>
      </x:c>
      <x:c r="B192" s="2" t="str">
        <x:v>C025</x:v>
      </x:c>
      <x:c r="C192" s="10" t="d">
        <x:v>2026-03-16T00:00:00.000Z</x:v>
      </x:c>
      <x:c r="D192" s="10" t="d">
        <x:v>2026-05-15T00:00:00.000Z</x:v>
      </x:c>
      <x:c r="E192" s="11" t="n">
        <x:v>12735.52</x:v>
      </x:c>
      <x:c r="F192" s="2" t="str">
        <x:v>No</x:v>
      </x:c>
      <x:c r="G192" s="2" t="str"/>
    </x:row>
    <x:row r="193" ht="23" customHeight="1">
      <x:c r="A193" s="2" t="str">
        <x:v>INV00189</x:v>
      </x:c>
      <x:c r="B193" s="2" t="str">
        <x:v>C001</x:v>
      </x:c>
      <x:c r="C193" s="10" t="d">
        <x:v>2026-07-06T00:00:00.000Z</x:v>
      </x:c>
      <x:c r="D193" s="10" t="d">
        <x:v>2026-08-05T00:00:00.000Z</x:v>
      </x:c>
      <x:c r="E193" s="11" t="n">
        <x:v>19996.38</x:v>
      </x:c>
      <x:c r="F193" s="2" t="str">
        <x:v>No</x:v>
      </x:c>
      <x:c r="G193" s="2" t="str"/>
    </x:row>
    <x:row r="194" ht="23" customHeight="1">
      <x:c r="A194" s="2" t="str">
        <x:v>INV00190</x:v>
      </x:c>
      <x:c r="B194" s="2" t="str">
        <x:v>C037</x:v>
      </x:c>
      <x:c r="C194" s="10" t="d">
        <x:v>2026-03-12T00:00:00.000Z</x:v>
      </x:c>
      <x:c r="D194" s="10" t="d">
        <x:v>2026-04-11T00:00:00.000Z</x:v>
      </x:c>
      <x:c r="E194" s="11" t="n">
        <x:v>8949.42</x:v>
      </x:c>
      <x:c r="F194" s="2" t="str">
        <x:v>No</x:v>
      </x:c>
      <x:c r="G194" s="2" t="str"/>
    </x:row>
    <x:row r="195" ht="23" customHeight="1">
      <x:c r="A195" s="2" t="str">
        <x:v>INV00191</x:v>
      </x:c>
      <x:c r="B195" s="2" t="str">
        <x:v>C006</x:v>
      </x:c>
      <x:c r="C195" s="10" t="d">
        <x:v>2026-02-12T00:00:00.000Z</x:v>
      </x:c>
      <x:c r="D195" s="10" t="d">
        <x:v>2026-02-27T00:00:00.000Z</x:v>
      </x:c>
      <x:c r="E195" s="11" t="n">
        <x:v>11310.38</x:v>
      </x:c>
      <x:c r="F195" s="2" t="str">
        <x:v>No</x:v>
      </x:c>
      <x:c r="G195" s="2" t="str"/>
    </x:row>
    <x:row r="196" ht="23" customHeight="1">
      <x:c r="A196" s="2" t="str">
        <x:v>INV00192</x:v>
      </x:c>
      <x:c r="B196" s="2" t="str">
        <x:v>C030</x:v>
      </x:c>
      <x:c r="C196" s="10" t="d">
        <x:v>2026-07-17T00:00:00.000Z</x:v>
      </x:c>
      <x:c r="D196" s="10" t="d">
        <x:v>2026-08-01T00:00:00.000Z</x:v>
      </x:c>
      <x:c r="E196" s="11" t="n">
        <x:v>17654.27</x:v>
      </x:c>
      <x:c r="F196" s="2" t="str">
        <x:v>No</x:v>
      </x:c>
      <x:c r="G196" s="2" t="str"/>
    </x:row>
    <x:row r="197" ht="23" customHeight="1">
      <x:c r="A197" s="2" t="str">
        <x:v>INV00193</x:v>
      </x:c>
      <x:c r="B197" s="2" t="str">
        <x:v>C040</x:v>
      </x:c>
      <x:c r="C197" s="10" t="d">
        <x:v>2026-06-29T00:00:00.000Z</x:v>
      </x:c>
      <x:c r="D197" s="10" t="d">
        <x:v>2026-08-13T00:00:00.000Z</x:v>
      </x:c>
      <x:c r="E197" s="11" t="n">
        <x:v>14972.5</x:v>
      </x:c>
      <x:c r="F197" s="2" t="str">
        <x:v>No</x:v>
      </x:c>
      <x:c r="G197" s="2" t="str"/>
    </x:row>
    <x:row r="198" ht="23" customHeight="1">
      <x:c r="A198" s="2" t="str">
        <x:v>INV00194</x:v>
      </x:c>
      <x:c r="B198" s="2" t="str">
        <x:v>C011</x:v>
      </x:c>
      <x:c r="C198" s="10" t="d">
        <x:v>2026-02-02T00:00:00.000Z</x:v>
      </x:c>
      <x:c r="D198" s="10" t="d">
        <x:v>2026-03-04T00:00:00.000Z</x:v>
      </x:c>
      <x:c r="E198" s="11" t="n">
        <x:v>5723.65</x:v>
      </x:c>
      <x:c r="F198" s="2" t="str">
        <x:v>No</x:v>
      </x:c>
      <x:c r="G198" s="2" t="str"/>
    </x:row>
    <x:row r="199" ht="23" customHeight="1">
      <x:c r="A199" s="2" t="str">
        <x:v>INV00195</x:v>
      </x:c>
      <x:c r="B199" s="2" t="str">
        <x:v>C001</x:v>
      </x:c>
      <x:c r="C199" s="10" t="d">
        <x:v>2026-04-06T00:00:00.000Z</x:v>
      </x:c>
      <x:c r="D199" s="10" t="d">
        <x:v>2026-06-05T00:00:00.000Z</x:v>
      </x:c>
      <x:c r="E199" s="11" t="n">
        <x:v>10127.78</x:v>
      </x:c>
      <x:c r="F199" s="2" t="str">
        <x:v>Yes</x:v>
      </x:c>
      <x:c r="G199" s="2" t="str">
        <x:v>Pricing query</x:v>
      </x:c>
    </x:row>
    <x:row r="200" ht="23" customHeight="1">
      <x:c r="A200" s="2" t="str">
        <x:v>INV00196</x:v>
      </x:c>
      <x:c r="B200" s="2" t="str">
        <x:v>C005</x:v>
      </x:c>
      <x:c r="C200" s="10" t="d">
        <x:v>2026-04-18T00:00:00.000Z</x:v>
      </x:c>
      <x:c r="D200" s="10" t="d">
        <x:v>2026-06-17T00:00:00.000Z</x:v>
      </x:c>
      <x:c r="E200" s="11" t="n">
        <x:v>9400.24</x:v>
      </x:c>
      <x:c r="F200" s="2" t="str">
        <x:v>No</x:v>
      </x:c>
      <x:c r="G200" s="2" t="str"/>
    </x:row>
    <x:row r="201" ht="23" customHeight="1">
      <x:c r="A201" s="2" t="str">
        <x:v>INV00197</x:v>
      </x:c>
      <x:c r="B201" s="2" t="str">
        <x:v>C022</x:v>
      </x:c>
      <x:c r="C201" s="10" t="d">
        <x:v>2026-06-27T00:00:00.000Z</x:v>
      </x:c>
      <x:c r="D201" s="10" t="d">
        <x:v>2026-07-12T00:00:00.000Z</x:v>
      </x:c>
      <x:c r="E201" s="11" t="n">
        <x:v>18140.3</x:v>
      </x:c>
      <x:c r="F201" s="2" t="str">
        <x:v>No</x:v>
      </x:c>
      <x:c r="G201" s="2" t="str"/>
    </x:row>
    <x:row r="202" ht="23" customHeight="1">
      <x:c r="A202" s="2" t="str">
        <x:v>INV00198</x:v>
      </x:c>
      <x:c r="B202" s="2" t="str">
        <x:v>C009</x:v>
      </x:c>
      <x:c r="C202" s="10" t="d">
        <x:v>2026-01-31T00:00:00.000Z</x:v>
      </x:c>
      <x:c r="D202" s="10" t="d">
        <x:v>2026-03-17T00:00:00.000Z</x:v>
      </x:c>
      <x:c r="E202" s="11" t="n">
        <x:v>8976.19</x:v>
      </x:c>
      <x:c r="F202" s="2" t="str">
        <x:v>No</x:v>
      </x:c>
      <x:c r="G202" s="2" t="str"/>
    </x:row>
    <x:row r="203" ht="23" customHeight="1">
      <x:c r="A203" s="2" t="str">
        <x:v>INV00199</x:v>
      </x:c>
      <x:c r="B203" s="2" t="str">
        <x:v>C037</x:v>
      </x:c>
      <x:c r="C203" s="10" t="d">
        <x:v>2026-06-30T00:00:00.000Z</x:v>
      </x:c>
      <x:c r="D203" s="10" t="d">
        <x:v>2026-07-30T00:00:00.000Z</x:v>
      </x:c>
      <x:c r="E203" s="11" t="n">
        <x:v>19586.86</x:v>
      </x:c>
      <x:c r="F203" s="2" t="str">
        <x:v>No</x:v>
      </x:c>
      <x:c r="G203" s="2" t="str"/>
    </x:row>
    <x:row r="204" ht="23" customHeight="1">
      <x:c r="A204" s="2" t="str">
        <x:v>INV00200</x:v>
      </x:c>
      <x:c r="B204" s="2" t="str">
        <x:v>C001</x:v>
      </x:c>
      <x:c r="C204" s="10" t="d">
        <x:v>2026-04-22T00:00:00.000Z</x:v>
      </x:c>
      <x:c r="D204" s="10" t="d">
        <x:v>2026-05-22T00:00:00.000Z</x:v>
      </x:c>
      <x:c r="E204" s="11" t="n">
        <x:v>3359.67</x:v>
      </x:c>
      <x:c r="F204" s="2" t="str">
        <x:v>No</x:v>
      </x:c>
      <x:c r="G204" s="2" t="str"/>
    </x:row>
    <x:row r="205" ht="23" customHeight="1">
      <x:c r="A205" s="2" t="str">
        <x:v>INV00201</x:v>
      </x:c>
      <x:c r="B205" s="2" t="str">
        <x:v>C003</x:v>
      </x:c>
      <x:c r="C205" s="10" t="d">
        <x:v>2026-06-20T00:00:00.000Z</x:v>
      </x:c>
      <x:c r="D205" s="10" t="d">
        <x:v>2026-08-04T00:00:00.000Z</x:v>
      </x:c>
      <x:c r="E205" s="11" t="n">
        <x:v>2145.75</x:v>
      </x:c>
      <x:c r="F205" s="2" t="str">
        <x:v>No</x:v>
      </x:c>
      <x:c r="G205" s="2" t="str"/>
    </x:row>
    <x:row r="206" ht="23" customHeight="1">
      <x:c r="A206" s="2" t="str">
        <x:v>INV00202</x:v>
      </x:c>
      <x:c r="B206" s="2" t="str">
        <x:v>C038</x:v>
      </x:c>
      <x:c r="C206" s="10" t="d">
        <x:v>2026-09-01T00:00:00.000Z</x:v>
      </x:c>
      <x:c r="D206" s="10" t="d">
        <x:v>2026-09-16T00:00:00.000Z</x:v>
      </x:c>
      <x:c r="E206" s="11" t="n">
        <x:v>4357.65</x:v>
      </x:c>
      <x:c r="F206" s="2" t="str">
        <x:v>No</x:v>
      </x:c>
      <x:c r="G206" s="2" t="str"/>
    </x:row>
    <x:row r="207" ht="23" customHeight="1">
      <x:c r="A207" s="2" t="str">
        <x:v>INV00203</x:v>
      </x:c>
      <x:c r="B207" s="2" t="str">
        <x:v>C027</x:v>
      </x:c>
      <x:c r="C207" s="10" t="d">
        <x:v>2026-01-08T00:00:00.000Z</x:v>
      </x:c>
      <x:c r="D207" s="10" t="d">
        <x:v>2026-02-07T00:00:00.000Z</x:v>
      </x:c>
      <x:c r="E207" s="11" t="n">
        <x:v>7431.09</x:v>
      </x:c>
      <x:c r="F207" s="2" t="str">
        <x:v>Yes</x:v>
      </x:c>
      <x:c r="G207" s="2" t="str">
        <x:v>Invoice detail query</x:v>
      </x:c>
    </x:row>
    <x:row r="208" ht="23" customHeight="1">
      <x:c r="A208" s="2" t="str">
        <x:v>INV00204</x:v>
      </x:c>
      <x:c r="B208" s="2" t="str">
        <x:v>C018</x:v>
      </x:c>
      <x:c r="C208" s="10" t="d">
        <x:v>2026-01-12T00:00:00.000Z</x:v>
      </x:c>
      <x:c r="D208" s="10" t="d">
        <x:v>2026-01-27T00:00:00.000Z</x:v>
      </x:c>
      <x:c r="E208" s="11" t="n">
        <x:v>1252.04</x:v>
      </x:c>
      <x:c r="F208" s="2" t="str">
        <x:v>No</x:v>
      </x:c>
      <x:c r="G208" s="2" t="str"/>
    </x:row>
    <x:row r="209" ht="23" customHeight="1">
      <x:c r="A209" s="2" t="str">
        <x:v>INV00205</x:v>
      </x:c>
      <x:c r="B209" s="2" t="str">
        <x:v>C021</x:v>
      </x:c>
      <x:c r="C209" s="10" t="d">
        <x:v>2026-05-30T00:00:00.000Z</x:v>
      </x:c>
      <x:c r="D209" s="10" t="d">
        <x:v>2026-07-14T00:00:00.000Z</x:v>
      </x:c>
      <x:c r="E209" s="11" t="n">
        <x:v>12363.1</x:v>
      </x:c>
      <x:c r="F209" s="2" t="str">
        <x:v>No</x:v>
      </x:c>
      <x:c r="G209" s="2" t="str"/>
    </x:row>
    <x:row r="210" ht="23" customHeight="1">
      <x:c r="A210" s="2" t="str">
        <x:v>INV00206</x:v>
      </x:c>
      <x:c r="B210" s="2" t="str">
        <x:v>C033</x:v>
      </x:c>
      <x:c r="C210" s="10" t="d">
        <x:v>2026-03-26T00:00:00.000Z</x:v>
      </x:c>
      <x:c r="D210" s="10" t="d">
        <x:v>2026-04-10T00:00:00.000Z</x:v>
      </x:c>
      <x:c r="E210" s="11" t="n">
        <x:v>8812.55</x:v>
      </x:c>
      <x:c r="F210" s="2" t="str">
        <x:v>No</x:v>
      </x:c>
      <x:c r="G210" s="2" t="str"/>
    </x:row>
    <x:row r="211" ht="23" customHeight="1">
      <x:c r="A211" s="2" t="str">
        <x:v>INV00207</x:v>
      </x:c>
      <x:c r="B211" s="2" t="str">
        <x:v>C031</x:v>
      </x:c>
      <x:c r="C211" s="10" t="d">
        <x:v>2026-06-29T00:00:00.000Z</x:v>
      </x:c>
      <x:c r="D211" s="10" t="d">
        <x:v>2026-07-29T00:00:00.000Z</x:v>
      </x:c>
      <x:c r="E211" s="11" t="n">
        <x:v>14539.4</x:v>
      </x:c>
      <x:c r="F211" s="2" t="str">
        <x:v>No</x:v>
      </x:c>
      <x:c r="G211" s="2" t="str"/>
    </x:row>
    <x:row r="212" ht="23" customHeight="1">
      <x:c r="A212" s="2" t="str">
        <x:v>INV00208</x:v>
      </x:c>
      <x:c r="B212" s="2" t="str">
        <x:v>C018</x:v>
      </x:c>
      <x:c r="C212" s="10" t="d">
        <x:v>2026-05-02T00:00:00.000Z</x:v>
      </x:c>
      <x:c r="D212" s="10" t="d">
        <x:v>2026-06-01T00:00:00.000Z</x:v>
      </x:c>
      <x:c r="E212" s="11" t="n">
        <x:v>4737.72</x:v>
      </x:c>
      <x:c r="F212" s="2" t="str">
        <x:v>No</x:v>
      </x:c>
      <x:c r="G212" s="2" t="str"/>
    </x:row>
    <x:row r="213" ht="23" customHeight="1">
      <x:c r="A213" s="2" t="str">
        <x:v>INV00209</x:v>
      </x:c>
      <x:c r="B213" s="2" t="str">
        <x:v>C016</x:v>
      </x:c>
      <x:c r="C213" s="10" t="d">
        <x:v>2026-05-13T00:00:00.000Z</x:v>
      </x:c>
      <x:c r="D213" s="10" t="d">
        <x:v>2026-06-27T00:00:00.000Z</x:v>
      </x:c>
      <x:c r="E213" s="11" t="n">
        <x:v>18914.71</x:v>
      </x:c>
      <x:c r="F213" s="2" t="str">
        <x:v>No</x:v>
      </x:c>
      <x:c r="G213" s="2" t="str"/>
    </x:row>
    <x:row r="214" ht="23" customHeight="1">
      <x:c r="A214" s="2" t="str">
        <x:v>INV00210</x:v>
      </x:c>
      <x:c r="B214" s="2" t="str">
        <x:v>C033</x:v>
      </x:c>
      <x:c r="C214" s="10" t="d">
        <x:v>2026-05-21T00:00:00.000Z</x:v>
      </x:c>
      <x:c r="D214" s="10" t="d">
        <x:v>2026-06-20T00:00:00.000Z</x:v>
      </x:c>
      <x:c r="E214" s="11" t="n">
        <x:v>19844.81</x:v>
      </x:c>
      <x:c r="F214" s="2" t="str">
        <x:v>No</x:v>
      </x:c>
      <x:c r="G214" s="2" t="str"/>
    </x:row>
    <x:row r="215" ht="23" customHeight="1">
      <x:c r="A215" s="2" t="str">
        <x:v>INV00211</x:v>
      </x:c>
      <x:c r="B215" s="2" t="str">
        <x:v>C033</x:v>
      </x:c>
      <x:c r="C215" s="10" t="d">
        <x:v>2026-09-28T00:00:00.000Z</x:v>
      </x:c>
      <x:c r="D215" s="10" t="d">
        <x:v>2026-10-28T00:00:00.000Z</x:v>
      </x:c>
      <x:c r="E215" s="11" t="n">
        <x:v>9293.38</x:v>
      </x:c>
      <x:c r="F215" s="2" t="str">
        <x:v>Yes</x:v>
      </x:c>
      <x:c r="G215" s="2" t="str">
        <x:v>Pricing query</x:v>
      </x:c>
    </x:row>
    <x:row r="216" ht="23" customHeight="1">
      <x:c r="A216" s="2" t="str">
        <x:v>INV00212</x:v>
      </x:c>
      <x:c r="B216" s="2" t="str">
        <x:v>C026</x:v>
      </x:c>
      <x:c r="C216" s="10" t="d">
        <x:v>2026-05-30T00:00:00.000Z</x:v>
      </x:c>
      <x:c r="D216" s="10" t="d">
        <x:v>2026-07-14T00:00:00.000Z</x:v>
      </x:c>
      <x:c r="E216" s="11" t="n">
        <x:v>17036.97</x:v>
      </x:c>
      <x:c r="F216" s="2" t="str">
        <x:v>No</x:v>
      </x:c>
      <x:c r="G216" s="2" t="str"/>
    </x:row>
    <x:row r="217" ht="23" customHeight="1">
      <x:c r="A217" s="2" t="str">
        <x:v>INV00213</x:v>
      </x:c>
      <x:c r="B217" s="2" t="str">
        <x:v>C031</x:v>
      </x:c>
      <x:c r="C217" s="10" t="d">
        <x:v>2026-08-19T00:00:00.000Z</x:v>
      </x:c>
      <x:c r="D217" s="10" t="d">
        <x:v>2026-09-18T00:00:00.000Z</x:v>
      </x:c>
      <x:c r="E217" s="11" t="n">
        <x:v>11273.24</x:v>
      </x:c>
      <x:c r="F217" s="2" t="str">
        <x:v>No</x:v>
      </x:c>
      <x:c r="G217" s="2" t="str"/>
    </x:row>
    <x:row r="218" ht="23" customHeight="1">
      <x:c r="A218" s="2" t="str">
        <x:v>INV00214</x:v>
      </x:c>
      <x:c r="B218" s="2" t="str">
        <x:v>C008</x:v>
      </x:c>
      <x:c r="C218" s="10" t="d">
        <x:v>2026-01-08T00:00:00.000Z</x:v>
      </x:c>
      <x:c r="D218" s="10" t="d">
        <x:v>2026-02-07T00:00:00.000Z</x:v>
      </x:c>
      <x:c r="E218" s="11" t="n">
        <x:v>10286.91</x:v>
      </x:c>
      <x:c r="F218" s="2" t="str">
        <x:v>No</x:v>
      </x:c>
      <x:c r="G218" s="2" t="str"/>
    </x:row>
    <x:row r="219" ht="23" customHeight="1">
      <x:c r="A219" s="2" t="str">
        <x:v>INV00215</x:v>
      </x:c>
      <x:c r="B219" s="2" t="str">
        <x:v>C011</x:v>
      </x:c>
      <x:c r="C219" s="10" t="d">
        <x:v>2026-02-04T00:00:00.000Z</x:v>
      </x:c>
      <x:c r="D219" s="10" t="d">
        <x:v>2026-03-21T00:00:00.000Z</x:v>
      </x:c>
      <x:c r="E219" s="11" t="n">
        <x:v>11728.98</x:v>
      </x:c>
      <x:c r="F219" s="2" t="str">
        <x:v>No</x:v>
      </x:c>
      <x:c r="G219" s="2" t="str"/>
    </x:row>
    <x:row r="220" ht="23" customHeight="1">
      <x:c r="A220" s="2" t="str">
        <x:v>INV00216</x:v>
      </x:c>
      <x:c r="B220" s="2" t="str">
        <x:v>C040</x:v>
      </x:c>
      <x:c r="C220" s="10" t="d">
        <x:v>2026-05-11T00:00:00.000Z</x:v>
      </x:c>
      <x:c r="D220" s="10" t="d">
        <x:v>2026-07-10T00:00:00.000Z</x:v>
      </x:c>
      <x:c r="E220" s="11" t="n">
        <x:v>8297.08</x:v>
      </x:c>
      <x:c r="F220" s="2" t="str">
        <x:v>No</x:v>
      </x:c>
      <x:c r="G220" s="2" t="str"/>
    </x:row>
    <x:row r="221" ht="23" customHeight="1">
      <x:c r="A221" s="2" t="str">
        <x:v>INV00217</x:v>
      </x:c>
      <x:c r="B221" s="2" t="str">
        <x:v>C030</x:v>
      </x:c>
      <x:c r="C221" s="10" t="d">
        <x:v>2026-08-18T00:00:00.000Z</x:v>
      </x:c>
      <x:c r="D221" s="10" t="d">
        <x:v>2026-09-02T00:00:00.000Z</x:v>
      </x:c>
      <x:c r="E221" s="11" t="n">
        <x:v>9969.84</x:v>
      </x:c>
      <x:c r="F221" s="2" t="str">
        <x:v>No</x:v>
      </x:c>
      <x:c r="G221" s="2" t="str"/>
    </x:row>
    <x:row r="222" ht="23" customHeight="1">
      <x:c r="A222" s="2" t="str">
        <x:v>INV00218</x:v>
      </x:c>
      <x:c r="B222" s="2" t="str">
        <x:v>C017</x:v>
      </x:c>
      <x:c r="C222" s="10" t="d">
        <x:v>2026-07-30T00:00:00.000Z</x:v>
      </x:c>
      <x:c r="D222" s="10" t="d">
        <x:v>2026-09-28T00:00:00.000Z</x:v>
      </x:c>
      <x:c r="E222" s="11" t="n">
        <x:v>3733.78</x:v>
      </x:c>
      <x:c r="F222" s="2" t="str">
        <x:v>No</x:v>
      </x:c>
      <x:c r="G222" s="2" t="str"/>
    </x:row>
    <x:row r="223" ht="23" customHeight="1">
      <x:c r="A223" s="2" t="str">
        <x:v>INV00219</x:v>
      </x:c>
      <x:c r="B223" s="2" t="str">
        <x:v>C024</x:v>
      </x:c>
      <x:c r="C223" s="10" t="d">
        <x:v>2026-01-13T00:00:00.000Z</x:v>
      </x:c>
      <x:c r="D223" s="10" t="d">
        <x:v>2026-02-27T00:00:00.000Z</x:v>
      </x:c>
      <x:c r="E223" s="11" t="n">
        <x:v>18319</x:v>
      </x:c>
      <x:c r="F223" s="2" t="str">
        <x:v>No</x:v>
      </x:c>
      <x:c r="G223" s="2" t="str"/>
    </x:row>
    <x:row r="224" ht="23" customHeight="1">
      <x:c r="A224" s="2" t="str">
        <x:v>INV00220</x:v>
      </x:c>
      <x:c r="B224" s="2" t="str">
        <x:v>C007</x:v>
      </x:c>
      <x:c r="C224" s="10" t="d">
        <x:v>2026-08-12T00:00:00.000Z</x:v>
      </x:c>
      <x:c r="D224" s="10" t="d">
        <x:v>2026-09-11T00:00:00.000Z</x:v>
      </x:c>
      <x:c r="E224" s="11" t="n">
        <x:v>11804.17</x:v>
      </x:c>
      <x:c r="F224" s="2" t="str">
        <x:v>No</x:v>
      </x:c>
      <x:c r="G224" s="2" t="str"/>
    </x:row>
    <x:row r="225" ht="23" customHeight="1">
      <x:c r="A225" s="2" t="str">
        <x:v>INV00221</x:v>
      </x:c>
      <x:c r="B225" s="2" t="str">
        <x:v>C026</x:v>
      </x:c>
      <x:c r="C225" s="10" t="d">
        <x:v>2026-04-04T00:00:00.000Z</x:v>
      </x:c>
      <x:c r="D225" s="10" t="d">
        <x:v>2026-04-19T00:00:00.000Z</x:v>
      </x:c>
      <x:c r="E225" s="11" t="n">
        <x:v>10071.97</x:v>
      </x:c>
      <x:c r="F225" s="2" t="str">
        <x:v>No</x:v>
      </x:c>
      <x:c r="G225" s="2" t="str"/>
    </x:row>
    <x:row r="226" ht="23" customHeight="1">
      <x:c r="A226" s="2" t="str">
        <x:v>INV00222</x:v>
      </x:c>
      <x:c r="B226" s="2" t="str">
        <x:v>C015</x:v>
      </x:c>
      <x:c r="C226" s="10" t="d">
        <x:v>2026-01-10T00:00:00.000Z</x:v>
      </x:c>
      <x:c r="D226" s="10" t="d">
        <x:v>2026-02-24T00:00:00.000Z</x:v>
      </x:c>
      <x:c r="E226" s="11" t="n">
        <x:v>12472.65</x:v>
      </x:c>
      <x:c r="F226" s="2" t="str">
        <x:v>No</x:v>
      </x:c>
      <x:c r="G226" s="2" t="str"/>
    </x:row>
    <x:row r="227" ht="23" customHeight="1">
      <x:c r="A227" s="2" t="str">
        <x:v>INV00223</x:v>
      </x:c>
      <x:c r="B227" s="2" t="str">
        <x:v>C019</x:v>
      </x:c>
      <x:c r="C227" s="10" t="d">
        <x:v>2026-08-14T00:00:00.000Z</x:v>
      </x:c>
      <x:c r="D227" s="10" t="d">
        <x:v>2026-08-29T00:00:00.000Z</x:v>
      </x:c>
      <x:c r="E227" s="11" t="n">
        <x:v>17837.23</x:v>
      </x:c>
      <x:c r="F227" s="2" t="str">
        <x:v>No</x:v>
      </x:c>
      <x:c r="G227" s="2" t="str"/>
    </x:row>
    <x:row r="228" ht="23" customHeight="1">
      <x:c r="A228" s="2" t="str">
        <x:v>INV00224</x:v>
      </x:c>
      <x:c r="B228" s="2" t="str">
        <x:v>C008</x:v>
      </x:c>
      <x:c r="C228" s="10" t="d">
        <x:v>2026-09-26T00:00:00.000Z</x:v>
      </x:c>
      <x:c r="D228" s="10" t="d">
        <x:v>2026-10-26T00:00:00.000Z</x:v>
      </x:c>
      <x:c r="E228" s="11" t="n">
        <x:v>14434.4</x:v>
      </x:c>
      <x:c r="F228" s="2" t="str">
        <x:v>No</x:v>
      </x:c>
      <x:c r="G228" s="2" t="str"/>
    </x:row>
    <x:row r="229" ht="23" customHeight="1">
      <x:c r="A229" s="2" t="str">
        <x:v>INV00225</x:v>
      </x:c>
      <x:c r="B229" s="2" t="str">
        <x:v>C037</x:v>
      </x:c>
      <x:c r="C229" s="10" t="d">
        <x:v>2026-08-11T00:00:00.000Z</x:v>
      </x:c>
      <x:c r="D229" s="10" t="d">
        <x:v>2026-10-10T00:00:00.000Z</x:v>
      </x:c>
      <x:c r="E229" s="11" t="n">
        <x:v>6720.2</x:v>
      </x:c>
      <x:c r="F229" s="2" t="str">
        <x:v>No</x:v>
      </x:c>
      <x:c r="G229" s="2" t="str"/>
    </x:row>
    <x:row r="230" ht="23" customHeight="1">
      <x:c r="A230" s="2" t="str">
        <x:v>INV00226</x:v>
      </x:c>
      <x:c r="B230" s="2" t="str">
        <x:v>C013</x:v>
      </x:c>
      <x:c r="C230" s="10" t="d">
        <x:v>2026-08-01T00:00:00.000Z</x:v>
      </x:c>
      <x:c r="D230" s="10" t="d">
        <x:v>2026-08-16T00:00:00.000Z</x:v>
      </x:c>
      <x:c r="E230" s="11" t="n">
        <x:v>3162.75</x:v>
      </x:c>
      <x:c r="F230" s="2" t="str">
        <x:v>No</x:v>
      </x:c>
      <x:c r="G230" s="2" t="str"/>
    </x:row>
    <x:row r="231" ht="23" customHeight="1">
      <x:c r="A231" s="2" t="str">
        <x:v>INV00227</x:v>
      </x:c>
      <x:c r="B231" s="2" t="str">
        <x:v>C025</x:v>
      </x:c>
      <x:c r="C231" s="10" t="d">
        <x:v>2026-08-16T00:00:00.000Z</x:v>
      </x:c>
      <x:c r="D231" s="10" t="d">
        <x:v>2026-09-15T00:00:00.000Z</x:v>
      </x:c>
      <x:c r="E231" s="11" t="n">
        <x:v>15599.39</x:v>
      </x:c>
      <x:c r="F231" s="2" t="str">
        <x:v>No</x:v>
      </x:c>
      <x:c r="G231" s="2" t="str"/>
    </x:row>
    <x:row r="232" ht="23" customHeight="1">
      <x:c r="A232" s="2" t="str">
        <x:v>INV00228</x:v>
      </x:c>
      <x:c r="B232" s="2" t="str">
        <x:v>C001</x:v>
      </x:c>
      <x:c r="C232" s="10" t="d">
        <x:v>2026-09-06T00:00:00.000Z</x:v>
      </x:c>
      <x:c r="D232" s="10" t="d">
        <x:v>2026-10-06T00:00:00.000Z</x:v>
      </x:c>
      <x:c r="E232" s="11" t="n">
        <x:v>11132.18</x:v>
      </x:c>
      <x:c r="F232" s="2" t="str">
        <x:v>No</x:v>
      </x:c>
      <x:c r="G232" s="2" t="str"/>
    </x:row>
    <x:row r="233" ht="23" customHeight="1">
      <x:c r="A233" s="2" t="str">
        <x:v>INV00229</x:v>
      </x:c>
      <x:c r="B233" s="2" t="str">
        <x:v>C040</x:v>
      </x:c>
      <x:c r="C233" s="10" t="d">
        <x:v>2026-06-21T00:00:00.000Z</x:v>
      </x:c>
      <x:c r="D233" s="10" t="d">
        <x:v>2026-07-06T00:00:00.000Z</x:v>
      </x:c>
      <x:c r="E233" s="11" t="n">
        <x:v>3712.15</x:v>
      </x:c>
      <x:c r="F233" s="2" t="str">
        <x:v>No</x:v>
      </x:c>
      <x:c r="G233" s="2" t="str"/>
    </x:row>
    <x:row r="234" ht="23" customHeight="1">
      <x:c r="A234" s="2" t="str">
        <x:v>INV00230</x:v>
      </x:c>
      <x:c r="B234" s="2" t="str">
        <x:v>C036</x:v>
      </x:c>
      <x:c r="C234" s="10" t="d">
        <x:v>2026-05-12T00:00:00.000Z</x:v>
      </x:c>
      <x:c r="D234" s="10" t="d">
        <x:v>2026-06-11T00:00:00.000Z</x:v>
      </x:c>
      <x:c r="E234" s="11" t="n">
        <x:v>14560.94</x:v>
      </x:c>
      <x:c r="F234" s="2" t="str">
        <x:v>No</x:v>
      </x:c>
      <x:c r="G234" s="2" t="str"/>
    </x:row>
    <x:row r="235" ht="23" customHeight="1">
      <x:c r="A235" s="2" t="str">
        <x:v>INV00231</x:v>
      </x:c>
      <x:c r="B235" s="2" t="str">
        <x:v>C036</x:v>
      </x:c>
      <x:c r="C235" s="10" t="d">
        <x:v>2026-04-12T00:00:00.000Z</x:v>
      </x:c>
      <x:c r="D235" s="10" t="d">
        <x:v>2026-05-12T00:00:00.000Z</x:v>
      </x:c>
      <x:c r="E235" s="11" t="n">
        <x:v>8290.15</x:v>
      </x:c>
      <x:c r="F235" s="2" t="str">
        <x:v>No</x:v>
      </x:c>
      <x:c r="G235" s="2" t="str"/>
    </x:row>
    <x:row r="236" ht="23" customHeight="1">
      <x:c r="A236" s="2" t="str">
        <x:v>INV00232</x:v>
      </x:c>
      <x:c r="B236" s="2" t="str">
        <x:v>C005</x:v>
      </x:c>
      <x:c r="C236" s="10" t="d">
        <x:v>2026-04-16T00:00:00.000Z</x:v>
      </x:c>
      <x:c r="D236" s="10" t="d">
        <x:v>2026-06-15T00:00:00.000Z</x:v>
      </x:c>
      <x:c r="E236" s="11" t="n">
        <x:v>5138.12</x:v>
      </x:c>
      <x:c r="F236" s="2" t="str">
        <x:v>No</x:v>
      </x:c>
      <x:c r="G236" s="2" t="str"/>
    </x:row>
    <x:row r="237" ht="23" customHeight="1">
      <x:c r="A237" s="2" t="str">
        <x:v>INV00233</x:v>
      </x:c>
      <x:c r="B237" s="2" t="str">
        <x:v>C039</x:v>
      </x:c>
      <x:c r="C237" s="10" t="d">
        <x:v>2026-07-23T00:00:00.000Z</x:v>
      </x:c>
      <x:c r="D237" s="10" t="d">
        <x:v>2026-08-22T00:00:00.000Z</x:v>
      </x:c>
      <x:c r="E237" s="11" t="n">
        <x:v>5587.07</x:v>
      </x:c>
      <x:c r="F237" s="2" t="str">
        <x:v>No</x:v>
      </x:c>
      <x:c r="G237" s="2" t="str"/>
    </x:row>
    <x:row r="238" ht="23" customHeight="1">
      <x:c r="A238" s="2" t="str">
        <x:v>INV00234</x:v>
      </x:c>
      <x:c r="B238" s="2" t="str">
        <x:v>C023</x:v>
      </x:c>
      <x:c r="C238" s="10" t="d">
        <x:v>2026-01-07T00:00:00.000Z</x:v>
      </x:c>
      <x:c r="D238" s="10" t="d">
        <x:v>2026-02-21T00:00:00.000Z</x:v>
      </x:c>
      <x:c r="E238" s="11" t="n">
        <x:v>6233.72</x:v>
      </x:c>
      <x:c r="F238" s="2" t="str">
        <x:v>No</x:v>
      </x:c>
      <x:c r="G238" s="2" t="str"/>
    </x:row>
    <x:row r="239" ht="23" customHeight="1">
      <x:c r="A239" s="2" t="str">
        <x:v>INV00235</x:v>
      </x:c>
      <x:c r="B239" s="2" t="str">
        <x:v>C009</x:v>
      </x:c>
      <x:c r="C239" s="10" t="d">
        <x:v>2026-05-19T00:00:00.000Z</x:v>
      </x:c>
      <x:c r="D239" s="10" t="d">
        <x:v>2026-06-18T00:00:00.000Z</x:v>
      </x:c>
      <x:c r="E239" s="11" t="n">
        <x:v>2874.62</x:v>
      </x:c>
      <x:c r="F239" s="2" t="str">
        <x:v>No</x:v>
      </x:c>
      <x:c r="G239" s="2" t="str"/>
    </x:row>
    <x:row r="240" ht="23" customHeight="1">
      <x:c r="A240" s="2" t="str">
        <x:v>INV00236</x:v>
      </x:c>
      <x:c r="B240" s="2" t="str">
        <x:v>C028</x:v>
      </x:c>
      <x:c r="C240" s="10" t="d">
        <x:v>2026-07-22T00:00:00.000Z</x:v>
      </x:c>
      <x:c r="D240" s="10" t="d">
        <x:v>2026-09-20T00:00:00.000Z</x:v>
      </x:c>
      <x:c r="E240" s="11" t="n">
        <x:v>17258.27</x:v>
      </x:c>
      <x:c r="F240" s="2" t="str">
        <x:v>No</x:v>
      </x:c>
      <x:c r="G240" s="2" t="str"/>
    </x:row>
    <x:row r="241" ht="23" customHeight="1">
      <x:c r="A241" s="2" t="str">
        <x:v>INV00237</x:v>
      </x:c>
      <x:c r="B241" s="2" t="str">
        <x:v>C027</x:v>
      </x:c>
      <x:c r="C241" s="10" t="d">
        <x:v>2026-08-24T00:00:00.000Z</x:v>
      </x:c>
      <x:c r="D241" s="10" t="d">
        <x:v>2026-09-23T00:00:00.000Z</x:v>
      </x:c>
      <x:c r="E241" s="11" t="n">
        <x:v>15780.67</x:v>
      </x:c>
      <x:c r="F241" s="2" t="str">
        <x:v>No</x:v>
      </x:c>
      <x:c r="G241" s="2" t="str"/>
    </x:row>
    <x:row r="242" ht="23" customHeight="1">
      <x:c r="A242" s="2" t="str">
        <x:v>INV00238</x:v>
      </x:c>
      <x:c r="B242" s="2" t="str">
        <x:v>C004</x:v>
      </x:c>
      <x:c r="C242" s="10" t="d">
        <x:v>2026-06-14T00:00:00.000Z</x:v>
      </x:c>
      <x:c r="D242" s="10" t="d">
        <x:v>2026-06-29T00:00:00.000Z</x:v>
      </x:c>
      <x:c r="E242" s="11" t="n">
        <x:v>15916.72</x:v>
      </x:c>
      <x:c r="F242" s="2" t="str">
        <x:v>No</x:v>
      </x:c>
      <x:c r="G242" s="2" t="str"/>
    </x:row>
    <x:row r="243" ht="23" customHeight="1">
      <x:c r="A243" s="2" t="str">
        <x:v>INV00239</x:v>
      </x:c>
      <x:c r="B243" s="2" t="str">
        <x:v>C003</x:v>
      </x:c>
      <x:c r="C243" s="10" t="d">
        <x:v>2026-05-21T00:00:00.000Z</x:v>
      </x:c>
      <x:c r="D243" s="10" t="d">
        <x:v>2026-07-20T00:00:00.000Z</x:v>
      </x:c>
      <x:c r="E243" s="11" t="n">
        <x:v>1387.24</x:v>
      </x:c>
      <x:c r="F243" s="2" t="str">
        <x:v>Yes</x:v>
      </x:c>
      <x:c r="G243" s="2" t="str">
        <x:v>Service acceptance pending</x:v>
      </x:c>
    </x:row>
    <x:row r="244" ht="23" customHeight="1">
      <x:c r="A244" s="2" t="str">
        <x:v>INV00240</x:v>
      </x:c>
      <x:c r="B244" s="2" t="str">
        <x:v>C028</x:v>
      </x:c>
      <x:c r="C244" s="10" t="d">
        <x:v>2026-06-22T00:00:00.000Z</x:v>
      </x:c>
      <x:c r="D244" s="10" t="d">
        <x:v>2026-08-06T00:00:00.000Z</x:v>
      </x:c>
      <x:c r="E244" s="11" t="n">
        <x:v>17461.78</x:v>
      </x:c>
      <x:c r="F244" s="2" t="str">
        <x:v>No</x:v>
      </x:c>
      <x:c r="G244" s="2" t="str"/>
    </x:row>
    <x:row r="245" ht="23" customHeight="1">
      <x:c r="A245" s="2" t="str">
        <x:v>INV00241</x:v>
      </x:c>
      <x:c r="B245" s="2" t="str">
        <x:v>C028</x:v>
      </x:c>
      <x:c r="C245" s="10" t="d">
        <x:v>2026-02-18T00:00:00.000Z</x:v>
      </x:c>
      <x:c r="D245" s="10" t="d">
        <x:v>2026-03-05T00:00:00.000Z</x:v>
      </x:c>
      <x:c r="E245" s="11" t="n">
        <x:v>5388.41</x:v>
      </x:c>
      <x:c r="F245" s="2" t="str">
        <x:v>No</x:v>
      </x:c>
      <x:c r="G245" s="2" t="str"/>
    </x:row>
    <x:row r="246" ht="23" customHeight="1">
      <x:c r="A246" s="2" t="str">
        <x:v>INV00242</x:v>
      </x:c>
      <x:c r="B246" s="2" t="str">
        <x:v>C039</x:v>
      </x:c>
      <x:c r="C246" s="10" t="d">
        <x:v>2026-09-28T00:00:00.000Z</x:v>
      </x:c>
      <x:c r="D246" s="10" t="d">
        <x:v>2026-10-28T00:00:00.000Z</x:v>
      </x:c>
      <x:c r="E246" s="11" t="n">
        <x:v>3402.02</x:v>
      </x:c>
      <x:c r="F246" s="2" t="str">
        <x:v>No</x:v>
      </x:c>
      <x:c r="G246" s="2" t="str"/>
    </x:row>
    <x:row r="247" ht="23" customHeight="1">
      <x:c r="A247" s="2" t="str">
        <x:v>INV00243</x:v>
      </x:c>
      <x:c r="B247" s="2" t="str">
        <x:v>C030</x:v>
      </x:c>
      <x:c r="C247" s="10" t="d">
        <x:v>2026-04-03T00:00:00.000Z</x:v>
      </x:c>
      <x:c r="D247" s="10" t="d">
        <x:v>2026-05-18T00:00:00.000Z</x:v>
      </x:c>
      <x:c r="E247" s="11" t="n">
        <x:v>12952.07</x:v>
      </x:c>
      <x:c r="F247" s="2" t="str">
        <x:v>No</x:v>
      </x:c>
      <x:c r="G247" s="2" t="str"/>
    </x:row>
    <x:row r="248" ht="23" customHeight="1">
      <x:c r="A248" s="2" t="str">
        <x:v>INV00244</x:v>
      </x:c>
      <x:c r="B248" s="2" t="str">
        <x:v>C036</x:v>
      </x:c>
      <x:c r="C248" s="10" t="d">
        <x:v>2026-09-13T00:00:00.000Z</x:v>
      </x:c>
      <x:c r="D248" s="10" t="d">
        <x:v>2026-10-13T00:00:00.000Z</x:v>
      </x:c>
      <x:c r="E248" s="11" t="n">
        <x:v>7640.1</x:v>
      </x:c>
      <x:c r="F248" s="2" t="str">
        <x:v>No</x:v>
      </x:c>
      <x:c r="G248" s="2" t="str"/>
    </x:row>
    <x:row r="249" ht="23" customHeight="1">
      <x:c r="A249" s="2" t="str">
        <x:v>INV00245</x:v>
      </x:c>
      <x:c r="B249" s="2" t="str">
        <x:v>C031</x:v>
      </x:c>
      <x:c r="C249" s="10" t="d">
        <x:v>2026-07-13T00:00:00.000Z</x:v>
      </x:c>
      <x:c r="D249" s="10" t="d">
        <x:v>2026-09-11T00:00:00.000Z</x:v>
      </x:c>
      <x:c r="E249" s="11" t="n">
        <x:v>6549.64</x:v>
      </x:c>
      <x:c r="F249" s="2" t="str">
        <x:v>No</x:v>
      </x:c>
      <x:c r="G249" s="2" t="str"/>
    </x:row>
    <x:row r="250" ht="23" customHeight="1">
      <x:c r="A250" s="2" t="str">
        <x:v>INV00246</x:v>
      </x:c>
      <x:c r="B250" s="2" t="str">
        <x:v>C022</x:v>
      </x:c>
      <x:c r="C250" s="10" t="d">
        <x:v>2026-03-06T00:00:00.000Z</x:v>
      </x:c>
      <x:c r="D250" s="10" t="d">
        <x:v>2026-04-05T00:00:00.000Z</x:v>
      </x:c>
      <x:c r="E250" s="11" t="n">
        <x:v>15907.83</x:v>
      </x:c>
      <x:c r="F250" s="2" t="str">
        <x:v>No</x:v>
      </x:c>
      <x:c r="G250" s="2" t="str"/>
    </x:row>
    <x:row r="251" ht="23" customHeight="1">
      <x:c r="A251" s="2" t="str">
        <x:v>INV00247</x:v>
      </x:c>
      <x:c r="B251" s="2" t="str">
        <x:v>C018</x:v>
      </x:c>
      <x:c r="C251" s="10" t="d">
        <x:v>2026-01-14T00:00:00.000Z</x:v>
      </x:c>
      <x:c r="D251" s="10" t="d">
        <x:v>2026-02-28T00:00:00.000Z</x:v>
      </x:c>
      <x:c r="E251" s="11" t="n">
        <x:v>6726.63</x:v>
      </x:c>
      <x:c r="F251" s="2" t="str">
        <x:v>No</x:v>
      </x:c>
      <x:c r="G251" s="2" t="str"/>
    </x:row>
    <x:row r="252" ht="23" customHeight="1">
      <x:c r="A252" s="2" t="str">
        <x:v>INV00248</x:v>
      </x:c>
      <x:c r="B252" s="2" t="str">
        <x:v>C035</x:v>
      </x:c>
      <x:c r="C252" s="10" t="d">
        <x:v>2026-08-14T00:00:00.000Z</x:v>
      </x:c>
      <x:c r="D252" s="10" t="d">
        <x:v>2026-09-13T00:00:00.000Z</x:v>
      </x:c>
      <x:c r="E252" s="11" t="n">
        <x:v>5307.27</x:v>
      </x:c>
      <x:c r="F252" s="2" t="str">
        <x:v>No</x:v>
      </x:c>
      <x:c r="G252" s="2" t="str"/>
    </x:row>
    <x:row r="253" ht="23" customHeight="1">
      <x:c r="A253" s="2" t="str">
        <x:v>INV00249</x:v>
      </x:c>
      <x:c r="B253" s="2" t="str">
        <x:v>C015</x:v>
      </x:c>
      <x:c r="C253" s="10" t="d">
        <x:v>2026-03-24T00:00:00.000Z</x:v>
      </x:c>
      <x:c r="D253" s="10" t="d">
        <x:v>2026-04-23T00:00:00.000Z</x:v>
      </x:c>
      <x:c r="E253" s="11" t="n">
        <x:v>15063.22</x:v>
      </x:c>
      <x:c r="F253" s="2" t="str">
        <x:v>Yes</x:v>
      </x:c>
      <x:c r="G253" s="2" t="str">
        <x:v>Pricing query</x:v>
      </x:c>
    </x:row>
    <x:row r="254" ht="23" customHeight="1">
      <x:c r="A254" s="2" t="str">
        <x:v>INV00250</x:v>
      </x:c>
      <x:c r="B254" s="2" t="str">
        <x:v>C015</x:v>
      </x:c>
      <x:c r="C254" s="10" t="d">
        <x:v>2026-06-09T00:00:00.000Z</x:v>
      </x:c>
      <x:c r="D254" s="10" t="d">
        <x:v>2026-07-09T00:00:00.000Z</x:v>
      </x:c>
      <x:c r="E254" s="11" t="n">
        <x:v>19479.9</x:v>
      </x:c>
      <x:c r="F254" s="2" t="str">
        <x:v>No</x:v>
      </x:c>
      <x:c r="G254" s="2" t="str"/>
    </x:row>
    <x:row r="255" ht="23" customHeight="1">
      <x:c r="A255" s="2" t="str">
        <x:v>INV00251</x:v>
      </x:c>
      <x:c r="B255" s="2" t="str">
        <x:v>C031</x:v>
      </x:c>
      <x:c r="C255" s="10" t="d">
        <x:v>2026-08-03T00:00:00.000Z</x:v>
      </x:c>
      <x:c r="D255" s="10" t="d">
        <x:v>2026-09-17T00:00:00.000Z</x:v>
      </x:c>
      <x:c r="E255" s="11" t="n">
        <x:v>12857.56</x:v>
      </x:c>
      <x:c r="F255" s="2" t="str">
        <x:v>Yes</x:v>
      </x:c>
      <x:c r="G255" s="2" t="str">
        <x:v>Invoice detail query</x:v>
      </x:c>
    </x:row>
    <x:row r="256" ht="23" customHeight="1">
      <x:c r="A256" s="2" t="str">
        <x:v>INV00252</x:v>
      </x:c>
      <x:c r="B256" s="2" t="str">
        <x:v>C026</x:v>
      </x:c>
      <x:c r="C256" s="10" t="d">
        <x:v>2026-05-31T00:00:00.000Z</x:v>
      </x:c>
      <x:c r="D256" s="10" t="d">
        <x:v>2026-06-30T00:00:00.000Z</x:v>
      </x:c>
      <x:c r="E256" s="11" t="n">
        <x:v>10872.29</x:v>
      </x:c>
      <x:c r="F256" s="2" t="str">
        <x:v>No</x:v>
      </x:c>
      <x:c r="G256" s="2" t="str"/>
    </x:row>
    <x:row r="257" ht="23" customHeight="1">
      <x:c r="A257" s="2" t="str">
        <x:v>INV00253</x:v>
      </x:c>
      <x:c r="B257" s="2" t="str">
        <x:v>C024</x:v>
      </x:c>
      <x:c r="C257" s="10" t="d">
        <x:v>2026-02-26T00:00:00.000Z</x:v>
      </x:c>
      <x:c r="D257" s="10" t="d">
        <x:v>2026-03-13T00:00:00.000Z</x:v>
      </x:c>
      <x:c r="E257" s="11" t="n">
        <x:v>12147.86</x:v>
      </x:c>
      <x:c r="F257" s="2" t="str">
        <x:v>No</x:v>
      </x:c>
      <x:c r="G257" s="2" t="str"/>
    </x:row>
    <x:row r="258" ht="23" customHeight="1">
      <x:c r="A258" s="2" t="str">
        <x:v>INV00254</x:v>
      </x:c>
      <x:c r="B258" s="2" t="str">
        <x:v>C020</x:v>
      </x:c>
      <x:c r="C258" s="10" t="d">
        <x:v>2026-05-03T00:00:00.000Z</x:v>
      </x:c>
      <x:c r="D258" s="10" t="d">
        <x:v>2026-05-18T00:00:00.000Z</x:v>
      </x:c>
      <x:c r="E258" s="11" t="n">
        <x:v>9325.06</x:v>
      </x:c>
      <x:c r="F258" s="2" t="str">
        <x:v>No</x:v>
      </x:c>
      <x:c r="G258" s="2" t="str"/>
    </x:row>
    <x:row r="259" ht="23" customHeight="1">
      <x:c r="A259" s="2" t="str">
        <x:v>INV00255</x:v>
      </x:c>
      <x:c r="B259" s="2" t="str">
        <x:v>C024</x:v>
      </x:c>
      <x:c r="C259" s="10" t="d">
        <x:v>2026-05-14T00:00:00.000Z</x:v>
      </x:c>
      <x:c r="D259" s="10" t="d">
        <x:v>2026-07-13T00:00:00.000Z</x:v>
      </x:c>
      <x:c r="E259" s="11" t="n">
        <x:v>19768.03</x:v>
      </x:c>
      <x:c r="F259" s="2" t="str">
        <x:v>No</x:v>
      </x:c>
      <x:c r="G259" s="2" t="str"/>
    </x:row>
    <x:row r="260" ht="23" customHeight="1">
      <x:c r="A260" s="2" t="str">
        <x:v>INV00256</x:v>
      </x:c>
      <x:c r="B260" s="2" t="str">
        <x:v>C009</x:v>
      </x:c>
      <x:c r="C260" s="10" t="d">
        <x:v>2026-05-04T00:00:00.000Z</x:v>
      </x:c>
      <x:c r="D260" s="10" t="d">
        <x:v>2026-06-03T00:00:00.000Z</x:v>
      </x:c>
      <x:c r="E260" s="11" t="n">
        <x:v>15686.29</x:v>
      </x:c>
      <x:c r="F260" s="2" t="str">
        <x:v>No</x:v>
      </x:c>
      <x:c r="G260" s="2" t="str"/>
    </x:row>
    <x:row r="261" ht="23" customHeight="1">
      <x:c r="A261" s="2" t="str">
        <x:v>INV00257</x:v>
      </x:c>
      <x:c r="B261" s="2" t="str">
        <x:v>C014</x:v>
      </x:c>
      <x:c r="C261" s="10" t="d">
        <x:v>2026-01-24T00:00:00.000Z</x:v>
      </x:c>
      <x:c r="D261" s="10" t="d">
        <x:v>2026-02-23T00:00:00.000Z</x:v>
      </x:c>
      <x:c r="E261" s="11" t="n">
        <x:v>2415.02</x:v>
      </x:c>
      <x:c r="F261" s="2" t="str">
        <x:v>No</x:v>
      </x:c>
      <x:c r="G261" s="2" t="str"/>
    </x:row>
    <x:row r="262" ht="23" customHeight="1">
      <x:c r="A262" s="2" t="str">
        <x:v>INV00258</x:v>
      </x:c>
      <x:c r="B262" s="2" t="str">
        <x:v>C017</x:v>
      </x:c>
      <x:c r="C262" s="10" t="d">
        <x:v>2026-06-17T00:00:00.000Z</x:v>
      </x:c>
      <x:c r="D262" s="10" t="d">
        <x:v>2026-07-02T00:00:00.000Z</x:v>
      </x:c>
      <x:c r="E262" s="11" t="n">
        <x:v>8925.92</x:v>
      </x:c>
      <x:c r="F262" s="2" t="str">
        <x:v>No</x:v>
      </x:c>
      <x:c r="G262" s="2" t="str"/>
    </x:row>
    <x:row r="263" ht="23" customHeight="1">
      <x:c r="A263" s="2" t="str">
        <x:v>INV00259</x:v>
      </x:c>
      <x:c r="B263" s="2" t="str">
        <x:v>C020</x:v>
      </x:c>
      <x:c r="C263" s="10" t="d">
        <x:v>2026-05-23T00:00:00.000Z</x:v>
      </x:c>
      <x:c r="D263" s="10" t="d">
        <x:v>2026-07-22T00:00:00.000Z</x:v>
      </x:c>
      <x:c r="E263" s="11" t="n">
        <x:v>14738.08</x:v>
      </x:c>
      <x:c r="F263" s="2" t="str">
        <x:v>Yes</x:v>
      </x:c>
      <x:c r="G263" s="2" t="str">
        <x:v>Service acceptance pending</x:v>
      </x:c>
    </x:row>
    <x:row r="264" ht="23" customHeight="1">
      <x:c r="A264" s="2" t="str">
        <x:v>INV00260</x:v>
      </x:c>
      <x:c r="B264" s="2" t="str">
        <x:v>C007</x:v>
      </x:c>
      <x:c r="C264" s="10" t="d">
        <x:v>2026-05-21T00:00:00.000Z</x:v>
      </x:c>
      <x:c r="D264" s="10" t="d">
        <x:v>2026-06-20T00:00:00.000Z</x:v>
      </x:c>
      <x:c r="E264" s="11" t="n">
        <x:v>4801.38</x:v>
      </x:c>
      <x:c r="F264" s="2" t="str">
        <x:v>No</x:v>
      </x:c>
      <x:c r="G264" s="2" t="str"/>
    </x:row>
    <x:row r="265" ht="23" customHeight="1">
      <x:c r="A265" s="2" t="str">
        <x:v>INV00261</x:v>
      </x:c>
      <x:c r="B265" s="2" t="str">
        <x:v>C038</x:v>
      </x:c>
      <x:c r="C265" s="10" t="d">
        <x:v>2026-02-17T00:00:00.000Z</x:v>
      </x:c>
      <x:c r="D265" s="10" t="d">
        <x:v>2026-04-18T00:00:00.000Z</x:v>
      </x:c>
      <x:c r="E265" s="11" t="n">
        <x:v>2396.35</x:v>
      </x:c>
      <x:c r="F265" s="2" t="str">
        <x:v>No</x:v>
      </x:c>
      <x:c r="G265" s="2" t="str"/>
    </x:row>
    <x:row r="266" ht="23" customHeight="1">
      <x:c r="A266" s="2" t="str">
        <x:v>INV00262</x:v>
      </x:c>
      <x:c r="B266" s="2" t="str">
        <x:v>C008</x:v>
      </x:c>
      <x:c r="C266" s="10" t="d">
        <x:v>2026-02-03T00:00:00.000Z</x:v>
      </x:c>
      <x:c r="D266" s="10" t="d">
        <x:v>2026-03-05T00:00:00.000Z</x:v>
      </x:c>
      <x:c r="E266" s="11" t="n">
        <x:v>4034.08</x:v>
      </x:c>
      <x:c r="F266" s="2" t="str">
        <x:v>No</x:v>
      </x:c>
      <x:c r="G266" s="2" t="str"/>
    </x:row>
    <x:row r="267" ht="23" customHeight="1">
      <x:c r="A267" s="2" t="str">
        <x:v>INV00263</x:v>
      </x:c>
      <x:c r="B267" s="2" t="str">
        <x:v>C039</x:v>
      </x:c>
      <x:c r="C267" s="10" t="d">
        <x:v>2026-02-09T00:00:00.000Z</x:v>
      </x:c>
      <x:c r="D267" s="10" t="d">
        <x:v>2026-02-24T00:00:00.000Z</x:v>
      </x:c>
      <x:c r="E267" s="11" t="n">
        <x:v>6241.83</x:v>
      </x:c>
      <x:c r="F267" s="2" t="str">
        <x:v>No</x:v>
      </x:c>
      <x:c r="G267" s="2" t="str"/>
    </x:row>
    <x:row r="268" ht="23" customHeight="1">
      <x:c r="A268" s="2" t="str">
        <x:v>INV00264</x:v>
      </x:c>
      <x:c r="B268" s="2" t="str">
        <x:v>C015</x:v>
      </x:c>
      <x:c r="C268" s="10" t="d">
        <x:v>2026-04-15T00:00:00.000Z</x:v>
      </x:c>
      <x:c r="D268" s="10" t="d">
        <x:v>2026-05-30T00:00:00.000Z</x:v>
      </x:c>
      <x:c r="E268" s="11" t="n">
        <x:v>9785.94</x:v>
      </x:c>
      <x:c r="F268" s="2" t="str">
        <x:v>No</x:v>
      </x:c>
      <x:c r="G268" s="2" t="str"/>
    </x:row>
    <x:row r="269" ht="23" customHeight="1">
      <x:c r="A269" s="2" t="str">
        <x:v>INV00265</x:v>
      </x:c>
      <x:c r="B269" s="2" t="str">
        <x:v>C022</x:v>
      </x:c>
      <x:c r="C269" s="10" t="d">
        <x:v>2026-05-27T00:00:00.000Z</x:v>
      </x:c>
      <x:c r="D269" s="10" t="d">
        <x:v>2026-06-11T00:00:00.000Z</x:v>
      </x:c>
      <x:c r="E269" s="11" t="n">
        <x:v>3660.67</x:v>
      </x:c>
      <x:c r="F269" s="2" t="str">
        <x:v>No</x:v>
      </x:c>
      <x:c r="G269" s="2" t="str"/>
    </x:row>
    <x:row r="270" ht="23" customHeight="1">
      <x:c r="A270" s="2" t="str">
        <x:v>INV00266</x:v>
      </x:c>
      <x:c r="B270" s="2" t="str">
        <x:v>C033</x:v>
      </x:c>
      <x:c r="C270" s="10" t="d">
        <x:v>2026-02-28T00:00:00.000Z</x:v>
      </x:c>
      <x:c r="D270" s="10" t="d">
        <x:v>2026-04-29T00:00:00.000Z</x:v>
      </x:c>
      <x:c r="E270" s="11" t="n">
        <x:v>12032.82</x:v>
      </x:c>
      <x:c r="F270" s="2" t="str">
        <x:v>No</x:v>
      </x:c>
      <x:c r="G270" s="2" t="str"/>
    </x:row>
    <x:row r="271" ht="23" customHeight="1">
      <x:c r="A271" s="2" t="str">
        <x:v>INV00267</x:v>
      </x:c>
      <x:c r="B271" s="2" t="str">
        <x:v>C011</x:v>
      </x:c>
      <x:c r="C271" s="10" t="d">
        <x:v>2026-05-18T00:00:00.000Z</x:v>
      </x:c>
      <x:c r="D271" s="10" t="d">
        <x:v>2026-06-02T00:00:00.000Z</x:v>
      </x:c>
      <x:c r="E271" s="11" t="n">
        <x:v>5730.59</x:v>
      </x:c>
      <x:c r="F271" s="2" t="str">
        <x:v>Yes</x:v>
      </x:c>
      <x:c r="G271" s="2" t="str">
        <x:v>Invoice detail query</x:v>
      </x:c>
    </x:row>
    <x:row r="272" ht="23" customHeight="1">
      <x:c r="A272" s="2" t="str">
        <x:v>INV00268</x:v>
      </x:c>
      <x:c r="B272" s="2" t="str">
        <x:v>C033</x:v>
      </x:c>
      <x:c r="C272" s="10" t="d">
        <x:v>2026-03-07T00:00:00.000Z</x:v>
      </x:c>
      <x:c r="D272" s="10" t="d">
        <x:v>2026-05-06T00:00:00.000Z</x:v>
      </x:c>
      <x:c r="E272" s="11" t="n">
        <x:v>15108.6</x:v>
      </x:c>
      <x:c r="F272" s="2" t="str">
        <x:v>No</x:v>
      </x:c>
      <x:c r="G272" s="2" t="str"/>
    </x:row>
    <x:row r="273" ht="23" customHeight="1">
      <x:c r="A273" s="2" t="str">
        <x:v>INV00269</x:v>
      </x:c>
      <x:c r="B273" s="2" t="str">
        <x:v>C022</x:v>
      </x:c>
      <x:c r="C273" s="10" t="d">
        <x:v>2026-04-19T00:00:00.000Z</x:v>
      </x:c>
      <x:c r="D273" s="10" t="d">
        <x:v>2026-05-19T00:00:00.000Z</x:v>
      </x:c>
      <x:c r="E273" s="11" t="n">
        <x:v>14980.02</x:v>
      </x:c>
      <x:c r="F273" s="2" t="str">
        <x:v>No</x:v>
      </x:c>
      <x:c r="G273" s="2" t="str"/>
    </x:row>
    <x:row r="274" ht="23" customHeight="1">
      <x:c r="A274" s="2" t="str">
        <x:v>INV00270</x:v>
      </x:c>
      <x:c r="B274" s="2" t="str">
        <x:v>C022</x:v>
      </x:c>
      <x:c r="C274" s="10" t="d">
        <x:v>2026-06-26T00:00:00.000Z</x:v>
      </x:c>
      <x:c r="D274" s="10" t="d">
        <x:v>2026-07-26T00:00:00.000Z</x:v>
      </x:c>
      <x:c r="E274" s="11" t="n">
        <x:v>16514.44</x:v>
      </x:c>
      <x:c r="F274" s="2" t="str">
        <x:v>No</x:v>
      </x:c>
      <x:c r="G274" s="2" t="str"/>
    </x:row>
    <x:row r="275" ht="23" customHeight="1">
      <x:c r="A275" s="2" t="str">
        <x:v>INV00271</x:v>
      </x:c>
      <x:c r="B275" s="2" t="str">
        <x:v>C021</x:v>
      </x:c>
      <x:c r="C275" s="10" t="d">
        <x:v>2026-04-21T00:00:00.000Z</x:v>
      </x:c>
      <x:c r="D275" s="10" t="d">
        <x:v>2026-05-21T00:00:00.000Z</x:v>
      </x:c>
      <x:c r="E275" s="11" t="n">
        <x:v>3201</x:v>
      </x:c>
      <x:c r="F275" s="2" t="str">
        <x:v>No</x:v>
      </x:c>
      <x:c r="G275" s="2" t="str"/>
    </x:row>
    <x:row r="276" ht="23" customHeight="1">
      <x:c r="A276" s="2" t="str">
        <x:v>INV00272</x:v>
      </x:c>
      <x:c r="B276" s="2" t="str">
        <x:v>C033</x:v>
      </x:c>
      <x:c r="C276" s="10" t="d">
        <x:v>2026-04-15T00:00:00.000Z</x:v>
      </x:c>
      <x:c r="D276" s="10" t="d">
        <x:v>2026-05-15T00:00:00.000Z</x:v>
      </x:c>
      <x:c r="E276" s="11" t="n">
        <x:v>14191.01</x:v>
      </x:c>
      <x:c r="F276" s="2" t="str">
        <x:v>No</x:v>
      </x:c>
      <x:c r="G276" s="2" t="str"/>
    </x:row>
    <x:row r="277" ht="23" customHeight="1">
      <x:c r="A277" s="2" t="str">
        <x:v>INV00273</x:v>
      </x:c>
      <x:c r="B277" s="2" t="str">
        <x:v>C037</x:v>
      </x:c>
      <x:c r="C277" s="10" t="d">
        <x:v>2026-05-28T00:00:00.000Z</x:v>
      </x:c>
      <x:c r="D277" s="10" t="d">
        <x:v>2026-07-12T00:00:00.000Z</x:v>
      </x:c>
      <x:c r="E277" s="11" t="n">
        <x:v>2383.23</x:v>
      </x:c>
      <x:c r="F277" s="2" t="str">
        <x:v>No</x:v>
      </x:c>
      <x:c r="G277" s="2" t="str"/>
    </x:row>
    <x:row r="278" ht="23" customHeight="1">
      <x:c r="A278" s="2" t="str">
        <x:v>INV00274</x:v>
      </x:c>
      <x:c r="B278" s="2" t="str">
        <x:v>C032</x:v>
      </x:c>
      <x:c r="C278" s="10" t="d">
        <x:v>2026-02-07T00:00:00.000Z</x:v>
      </x:c>
      <x:c r="D278" s="10" t="d">
        <x:v>2026-03-09T00:00:00.000Z</x:v>
      </x:c>
      <x:c r="E278" s="11" t="n">
        <x:v>18275.53</x:v>
      </x:c>
      <x:c r="F278" s="2" t="str">
        <x:v>No</x:v>
      </x:c>
      <x:c r="G278" s="2" t="str"/>
    </x:row>
    <x:row r="279" ht="23" customHeight="1">
      <x:c r="A279" s="2" t="str">
        <x:v>INV00275</x:v>
      </x:c>
      <x:c r="B279" s="2" t="str">
        <x:v>C033</x:v>
      </x:c>
      <x:c r="C279" s="10" t="d">
        <x:v>2026-04-09T00:00:00.000Z</x:v>
      </x:c>
      <x:c r="D279" s="10" t="d">
        <x:v>2026-06-08T00:00:00.000Z</x:v>
      </x:c>
      <x:c r="E279" s="11" t="n">
        <x:v>15370.18</x:v>
      </x:c>
      <x:c r="F279" s="2" t="str">
        <x:v>No</x:v>
      </x:c>
      <x:c r="G279" s="2" t="str"/>
    </x:row>
    <x:row r="280" ht="23" customHeight="1">
      <x:c r="A280" s="2" t="str">
        <x:v>INV00276</x:v>
      </x:c>
      <x:c r="B280" s="2" t="str">
        <x:v>C020</x:v>
      </x:c>
      <x:c r="C280" s="10" t="d">
        <x:v>2026-07-22T00:00:00.000Z</x:v>
      </x:c>
      <x:c r="D280" s="10" t="d">
        <x:v>2026-08-21T00:00:00.000Z</x:v>
      </x:c>
      <x:c r="E280" s="11" t="n">
        <x:v>11038.14</x:v>
      </x:c>
      <x:c r="F280" s="2" t="str">
        <x:v>No</x:v>
      </x:c>
      <x:c r="G280" s="2" t="str"/>
    </x:row>
    <x:row r="281" ht="23" customHeight="1">
      <x:c r="A281" s="2" t="str">
        <x:v>INV00277</x:v>
      </x:c>
      <x:c r="B281" s="2" t="str">
        <x:v>C020</x:v>
      </x:c>
      <x:c r="C281" s="10" t="d">
        <x:v>2026-01-13T00:00:00.000Z</x:v>
      </x:c>
      <x:c r="D281" s="10" t="d">
        <x:v>2026-02-12T00:00:00.000Z</x:v>
      </x:c>
      <x:c r="E281" s="11" t="n">
        <x:v>12133.51</x:v>
      </x:c>
      <x:c r="F281" s="2" t="str">
        <x:v>No</x:v>
      </x:c>
      <x:c r="G281" s="2" t="str"/>
    </x:row>
    <x:row r="282" ht="23" customHeight="1">
      <x:c r="A282" s="2" t="str">
        <x:v>INV00278</x:v>
      </x:c>
      <x:c r="B282" s="2" t="str">
        <x:v>C039</x:v>
      </x:c>
      <x:c r="C282" s="10" t="d">
        <x:v>2026-02-10T00:00:00.000Z</x:v>
      </x:c>
      <x:c r="D282" s="10" t="d">
        <x:v>2026-03-12T00:00:00.000Z</x:v>
      </x:c>
      <x:c r="E282" s="11" t="n">
        <x:v>6594.58</x:v>
      </x:c>
      <x:c r="F282" s="2" t="str">
        <x:v>No</x:v>
      </x:c>
      <x:c r="G282" s="2" t="str"/>
    </x:row>
    <x:row r="283" ht="23" customHeight="1">
      <x:c r="A283" s="2" t="str">
        <x:v>INV00279</x:v>
      </x:c>
      <x:c r="B283" s="2" t="str">
        <x:v>C031</x:v>
      </x:c>
      <x:c r="C283" s="10" t="d">
        <x:v>2026-09-08T00:00:00.000Z</x:v>
      </x:c>
      <x:c r="D283" s="10" t="d">
        <x:v>2026-10-08T00:00:00.000Z</x:v>
      </x:c>
      <x:c r="E283" s="11" t="n">
        <x:v>7234.9</x:v>
      </x:c>
      <x:c r="F283" s="2" t="str">
        <x:v>No</x:v>
      </x:c>
      <x:c r="G283" s="2" t="str"/>
    </x:row>
    <x:row r="284" ht="23" customHeight="1">
      <x:c r="A284" s="2" t="str">
        <x:v>INV00280</x:v>
      </x:c>
      <x:c r="B284" s="2" t="str">
        <x:v>C002</x:v>
      </x:c>
      <x:c r="C284" s="10" t="d">
        <x:v>2026-05-13T00:00:00.000Z</x:v>
      </x:c>
      <x:c r="D284" s="10" t="d">
        <x:v>2026-06-12T00:00:00.000Z</x:v>
      </x:c>
      <x:c r="E284" s="11" t="n">
        <x:v>13504.9</x:v>
      </x:c>
      <x:c r="F284" s="2" t="str">
        <x:v>No</x:v>
      </x:c>
      <x:c r="G284" s="2" t="str"/>
    </x:row>
    <x:row r="285" ht="23" customHeight="1">
      <x:c r="A285" s="2" t="str">
        <x:v>INV00281</x:v>
      </x:c>
      <x:c r="B285" s="2" t="str">
        <x:v>C025</x:v>
      </x:c>
      <x:c r="C285" s="10" t="d">
        <x:v>2026-06-04T00:00:00.000Z</x:v>
      </x:c>
      <x:c r="D285" s="10" t="d">
        <x:v>2026-07-19T00:00:00.000Z</x:v>
      </x:c>
      <x:c r="E285" s="11" t="n">
        <x:v>5397.64</x:v>
      </x:c>
      <x:c r="F285" s="2" t="str">
        <x:v>No</x:v>
      </x:c>
      <x:c r="G285" s="2" t="str"/>
    </x:row>
    <x:row r="286" ht="23" customHeight="1">
      <x:c r="A286" s="2" t="str">
        <x:v>INV00282</x:v>
      </x:c>
      <x:c r="B286" s="2" t="str">
        <x:v>C031</x:v>
      </x:c>
      <x:c r="C286" s="10" t="d">
        <x:v>2026-04-23T00:00:00.000Z</x:v>
      </x:c>
      <x:c r="D286" s="10" t="d">
        <x:v>2026-05-23T00:00:00.000Z</x:v>
      </x:c>
      <x:c r="E286" s="11" t="n">
        <x:v>1830.91</x:v>
      </x:c>
      <x:c r="F286" s="2" t="str">
        <x:v>No</x:v>
      </x:c>
      <x:c r="G286" s="2" t="str"/>
    </x:row>
    <x:row r="287" ht="23" customHeight="1">
      <x:c r="A287" s="2" t="str">
        <x:v>INV00283</x:v>
      </x:c>
      <x:c r="B287" s="2" t="str">
        <x:v>C037</x:v>
      </x:c>
      <x:c r="C287" s="10" t="d">
        <x:v>2026-05-11T00:00:00.000Z</x:v>
      </x:c>
      <x:c r="D287" s="10" t="d">
        <x:v>2026-06-10T00:00:00.000Z</x:v>
      </x:c>
      <x:c r="E287" s="11" t="n">
        <x:v>7710.23</x:v>
      </x:c>
      <x:c r="F287" s="2" t="str">
        <x:v>Yes</x:v>
      </x:c>
      <x:c r="G287" s="2" t="str">
        <x:v>Pricing query</x:v>
      </x:c>
    </x:row>
    <x:row r="288" ht="23" customHeight="1">
      <x:c r="A288" s="2" t="str">
        <x:v>INV00284</x:v>
      </x:c>
      <x:c r="B288" s="2" t="str">
        <x:v>C013</x:v>
      </x:c>
      <x:c r="C288" s="10" t="d">
        <x:v>2026-06-18T00:00:00.000Z</x:v>
      </x:c>
      <x:c r="D288" s="10" t="d">
        <x:v>2026-07-18T00:00:00.000Z</x:v>
      </x:c>
      <x:c r="E288" s="11" t="n">
        <x:v>19799.01</x:v>
      </x:c>
      <x:c r="F288" s="2" t="str">
        <x:v>No</x:v>
      </x:c>
      <x:c r="G288" s="2" t="str"/>
    </x:row>
    <x:row r="289" ht="23" customHeight="1">
      <x:c r="A289" s="2" t="str">
        <x:v>INV00285</x:v>
      </x:c>
      <x:c r="B289" s="2" t="str">
        <x:v>C003</x:v>
      </x:c>
      <x:c r="C289" s="10" t="d">
        <x:v>2026-08-14T00:00:00.000Z</x:v>
      </x:c>
      <x:c r="D289" s="10" t="d">
        <x:v>2026-09-28T00:00:00.000Z</x:v>
      </x:c>
      <x:c r="E289" s="11" t="n">
        <x:v>2417</x:v>
      </x:c>
      <x:c r="F289" s="2" t="str">
        <x:v>No</x:v>
      </x:c>
      <x:c r="G289" s="2" t="str"/>
    </x:row>
    <x:row r="290" ht="23" customHeight="1">
      <x:c r="A290" s="2" t="str">
        <x:v>INV00286</x:v>
      </x:c>
      <x:c r="B290" s="2" t="str">
        <x:v>C013</x:v>
      </x:c>
      <x:c r="C290" s="10" t="d">
        <x:v>2026-09-06T00:00:00.000Z</x:v>
      </x:c>
      <x:c r="D290" s="10" t="d">
        <x:v>2026-11-05T00:00:00.000Z</x:v>
      </x:c>
      <x:c r="E290" s="11" t="n">
        <x:v>7695.78</x:v>
      </x:c>
      <x:c r="F290" s="2" t="str">
        <x:v>No</x:v>
      </x:c>
      <x:c r="G290" s="2" t="str"/>
    </x:row>
    <x:row r="291" ht="23" customHeight="1">
      <x:c r="A291" s="2" t="str">
        <x:v>INV00287</x:v>
      </x:c>
      <x:c r="B291" s="2" t="str">
        <x:v>C017</x:v>
      </x:c>
      <x:c r="C291" s="10" t="d">
        <x:v>2026-03-24T00:00:00.000Z</x:v>
      </x:c>
      <x:c r="D291" s="10" t="d">
        <x:v>2026-05-08T00:00:00.000Z</x:v>
      </x:c>
      <x:c r="E291" s="11" t="n">
        <x:v>9253.42</x:v>
      </x:c>
      <x:c r="F291" s="2" t="str">
        <x:v>No</x:v>
      </x:c>
      <x:c r="G291" s="2" t="str"/>
    </x:row>
    <x:row r="292" ht="23" customHeight="1">
      <x:c r="A292" s="2" t="str">
        <x:v>INV00288</x:v>
      </x:c>
      <x:c r="B292" s="2" t="str">
        <x:v>C034</x:v>
      </x:c>
      <x:c r="C292" s="10" t="d">
        <x:v>2026-03-14T00:00:00.000Z</x:v>
      </x:c>
      <x:c r="D292" s="10" t="d">
        <x:v>2026-05-13T00:00:00.000Z</x:v>
      </x:c>
      <x:c r="E292" s="11" t="n">
        <x:v>2149.99</x:v>
      </x:c>
      <x:c r="F292" s="2" t="str">
        <x:v>No</x:v>
      </x:c>
      <x:c r="G292" s="2" t="str"/>
    </x:row>
    <x:row r="293" ht="23" customHeight="1">
      <x:c r="A293" s="2" t="str">
        <x:v>INV00289</x:v>
      </x:c>
      <x:c r="B293" s="2" t="str">
        <x:v>C007</x:v>
      </x:c>
      <x:c r="C293" s="10" t="d">
        <x:v>2026-03-07T00:00:00.000Z</x:v>
      </x:c>
      <x:c r="D293" s="10" t="d">
        <x:v>2026-05-06T00:00:00.000Z</x:v>
      </x:c>
      <x:c r="E293" s="11" t="n">
        <x:v>9991.86</x:v>
      </x:c>
      <x:c r="F293" s="2" t="str">
        <x:v>No</x:v>
      </x:c>
      <x:c r="G293" s="2" t="str"/>
    </x:row>
    <x:row r="294" ht="23" customHeight="1">
      <x:c r="A294" s="2" t="str">
        <x:v>INV00290</x:v>
      </x:c>
      <x:c r="B294" s="2" t="str">
        <x:v>C001</x:v>
      </x:c>
      <x:c r="C294" s="10" t="d">
        <x:v>2026-04-17T00:00:00.000Z</x:v>
      </x:c>
      <x:c r="D294" s="10" t="d">
        <x:v>2026-06-01T00:00:00.000Z</x:v>
      </x:c>
      <x:c r="E294" s="11" t="n">
        <x:v>9297.77</x:v>
      </x:c>
      <x:c r="F294" s="2" t="str">
        <x:v>No</x:v>
      </x:c>
      <x:c r="G294" s="2" t="str"/>
    </x:row>
    <x:row r="295" ht="23" customHeight="1">
      <x:c r="A295" s="2" t="str">
        <x:v>INV00291</x:v>
      </x:c>
      <x:c r="B295" s="2" t="str">
        <x:v>C029</x:v>
      </x:c>
      <x:c r="C295" s="10" t="d">
        <x:v>2026-03-31T00:00:00.000Z</x:v>
      </x:c>
      <x:c r="D295" s="10" t="d">
        <x:v>2026-05-30T00:00:00.000Z</x:v>
      </x:c>
      <x:c r="E295" s="11" t="n">
        <x:v>4083.37</x:v>
      </x:c>
      <x:c r="F295" s="2" t="str">
        <x:v>No</x:v>
      </x:c>
      <x:c r="G295" s="2" t="str"/>
    </x:row>
    <x:row r="296" ht="23" customHeight="1">
      <x:c r="A296" s="2" t="str">
        <x:v>INV00292</x:v>
      </x:c>
      <x:c r="B296" s="2" t="str">
        <x:v>C007</x:v>
      </x:c>
      <x:c r="C296" s="10" t="d">
        <x:v>2026-07-12T00:00:00.000Z</x:v>
      </x:c>
      <x:c r="D296" s="10" t="d">
        <x:v>2026-07-27T00:00:00.000Z</x:v>
      </x:c>
      <x:c r="E296" s="11" t="n">
        <x:v>17101.99</x:v>
      </x:c>
      <x:c r="F296" s="2" t="str">
        <x:v>No</x:v>
      </x:c>
      <x:c r="G296" s="2" t="str"/>
    </x:row>
    <x:row r="297" ht="23" customHeight="1">
      <x:c r="A297" s="2" t="str">
        <x:v>INV00293</x:v>
      </x:c>
      <x:c r="B297" s="2" t="str">
        <x:v>C019</x:v>
      </x:c>
      <x:c r="C297" s="10" t="d">
        <x:v>2026-09-05T00:00:00.000Z</x:v>
      </x:c>
      <x:c r="D297" s="10" t="d">
        <x:v>2026-11-04T00:00:00.000Z</x:v>
      </x:c>
      <x:c r="E297" s="11" t="n">
        <x:v>4001</x:v>
      </x:c>
      <x:c r="F297" s="2" t="str">
        <x:v>Yes</x:v>
      </x:c>
      <x:c r="G297" s="2" t="str">
        <x:v>Service acceptance pending</x:v>
      </x:c>
    </x:row>
    <x:row r="298" ht="23" customHeight="1">
      <x:c r="A298" s="2" t="str">
        <x:v>INV00294</x:v>
      </x:c>
      <x:c r="B298" s="2" t="str">
        <x:v>C027</x:v>
      </x:c>
      <x:c r="C298" s="10" t="d">
        <x:v>2026-03-29T00:00:00.000Z</x:v>
      </x:c>
      <x:c r="D298" s="10" t="d">
        <x:v>2026-04-13T00:00:00.000Z</x:v>
      </x:c>
      <x:c r="E298" s="11" t="n">
        <x:v>18481.44</x:v>
      </x:c>
      <x:c r="F298" s="2" t="str">
        <x:v>No</x:v>
      </x:c>
      <x:c r="G298" s="2" t="str"/>
    </x:row>
    <x:row r="299" ht="23" customHeight="1">
      <x:c r="A299" s="2" t="str">
        <x:v>INV00295</x:v>
      </x:c>
      <x:c r="B299" s="2" t="str">
        <x:v>C017</x:v>
      </x:c>
      <x:c r="C299" s="10" t="d">
        <x:v>2026-03-19T00:00:00.000Z</x:v>
      </x:c>
      <x:c r="D299" s="10" t="d">
        <x:v>2026-04-18T00:00:00.000Z</x:v>
      </x:c>
      <x:c r="E299" s="11" t="n">
        <x:v>967.43</x:v>
      </x:c>
      <x:c r="F299" s="2" t="str">
        <x:v>No</x:v>
      </x:c>
      <x:c r="G299" s="2" t="str"/>
    </x:row>
    <x:row r="300" ht="23" customHeight="1">
      <x:c r="A300" s="2" t="str">
        <x:v>INV00296</x:v>
      </x:c>
      <x:c r="B300" s="2" t="str">
        <x:v>C004</x:v>
      </x:c>
      <x:c r="C300" s="10" t="d">
        <x:v>2026-05-07T00:00:00.000Z</x:v>
      </x:c>
      <x:c r="D300" s="10" t="d">
        <x:v>2026-06-06T00:00:00.000Z</x:v>
      </x:c>
      <x:c r="E300" s="11" t="n">
        <x:v>4202.86</x:v>
      </x:c>
      <x:c r="F300" s="2" t="str">
        <x:v>No</x:v>
      </x:c>
      <x:c r="G300" s="2" t="str"/>
    </x:row>
    <x:row r="301" ht="23" customHeight="1">
      <x:c r="A301" s="2" t="str">
        <x:v>INV00297</x:v>
      </x:c>
      <x:c r="B301" s="2" t="str">
        <x:v>C014</x:v>
      </x:c>
      <x:c r="C301" s="10" t="d">
        <x:v>2026-06-02T00:00:00.000Z</x:v>
      </x:c>
      <x:c r="D301" s="10" t="d">
        <x:v>2026-06-17T00:00:00.000Z</x:v>
      </x:c>
      <x:c r="E301" s="11" t="n">
        <x:v>15653.24</x:v>
      </x:c>
      <x:c r="F301" s="2" t="str">
        <x:v>No</x:v>
      </x:c>
      <x:c r="G301" s="2" t="str"/>
    </x:row>
    <x:row r="302" ht="23" customHeight="1">
      <x:c r="A302" s="2" t="str">
        <x:v>INV00298</x:v>
      </x:c>
      <x:c r="B302" s="2" t="str">
        <x:v>C020</x:v>
      </x:c>
      <x:c r="C302" s="10" t="d">
        <x:v>2026-02-18T00:00:00.000Z</x:v>
      </x:c>
      <x:c r="D302" s="10" t="d">
        <x:v>2026-03-20T00:00:00.000Z</x:v>
      </x:c>
      <x:c r="E302" s="11" t="n">
        <x:v>15935.73</x:v>
      </x:c>
      <x:c r="F302" s="2" t="str">
        <x:v>No</x:v>
      </x:c>
      <x:c r="G302" s="2" t="str"/>
    </x:row>
    <x:row r="303" ht="23" customHeight="1">
      <x:c r="A303" s="2" t="str">
        <x:v>INV00299</x:v>
      </x:c>
      <x:c r="B303" s="2" t="str">
        <x:v>C034</x:v>
      </x:c>
      <x:c r="C303" s="10" t="d">
        <x:v>2026-05-30T00:00:00.000Z</x:v>
      </x:c>
      <x:c r="D303" s="10" t="d">
        <x:v>2026-06-29T00:00:00.000Z</x:v>
      </x:c>
      <x:c r="E303" s="11" t="n">
        <x:v>11261.05</x:v>
      </x:c>
      <x:c r="F303" s="2" t="str">
        <x:v>No</x:v>
      </x:c>
      <x:c r="G303" s="2" t="str"/>
    </x:row>
    <x:row r="304" ht="23" customHeight="1">
      <x:c r="A304" s="2" t="str">
        <x:v>INV00300</x:v>
      </x:c>
      <x:c r="B304" s="2" t="str">
        <x:v>C015</x:v>
      </x:c>
      <x:c r="C304" s="10" t="d">
        <x:v>2026-08-05T00:00:00.000Z</x:v>
      </x:c>
      <x:c r="D304" s="10" t="d">
        <x:v>2026-09-04T00:00:00.000Z</x:v>
      </x:c>
      <x:c r="E304" s="11" t="n">
        <x:v>2116.74</x:v>
      </x:c>
      <x:c r="F304" s="2" t="str">
        <x:v>No</x:v>
      </x:c>
      <x:c r="G304" s="2" t="str"/>
    </x:row>
    <x:row r="305" ht="23" customHeight="1">
      <x:c r="A305" s="2" t="str">
        <x:v>INV00301</x:v>
      </x:c>
      <x:c r="B305" s="2" t="str">
        <x:v>C005</x:v>
      </x:c>
      <x:c r="C305" s="10" t="d">
        <x:v>2026-09-29T00:00:00.000Z</x:v>
      </x:c>
      <x:c r="D305" s="10" t="d">
        <x:v>2026-10-14T00:00:00.000Z</x:v>
      </x:c>
      <x:c r="E305" s="11" t="n">
        <x:v>9223.38</x:v>
      </x:c>
      <x:c r="F305" s="2" t="str">
        <x:v>No</x:v>
      </x:c>
      <x:c r="G305" s="2" t="str"/>
    </x:row>
    <x:row r="306" ht="23" customHeight="1">
      <x:c r="A306" s="2" t="str">
        <x:v>INV00302</x:v>
      </x:c>
      <x:c r="B306" s="2" t="str">
        <x:v>C004</x:v>
      </x:c>
      <x:c r="C306" s="10" t="d">
        <x:v>2026-09-23T00:00:00.000Z</x:v>
      </x:c>
      <x:c r="D306" s="10" t="d">
        <x:v>2026-11-22T00:00:00.000Z</x:v>
      </x:c>
      <x:c r="E306" s="11" t="n">
        <x:v>3810.61</x:v>
      </x:c>
      <x:c r="F306" s="2" t="str">
        <x:v>No</x:v>
      </x:c>
      <x:c r="G306" s="2" t="str"/>
    </x:row>
    <x:row r="307" ht="23" customHeight="1">
      <x:c r="A307" s="2" t="str">
        <x:v>INV00303</x:v>
      </x:c>
      <x:c r="B307" s="2" t="str">
        <x:v>C034</x:v>
      </x:c>
      <x:c r="C307" s="10" t="d">
        <x:v>2026-04-09T00:00:00.000Z</x:v>
      </x:c>
      <x:c r="D307" s="10" t="d">
        <x:v>2026-05-09T00:00:00.000Z</x:v>
      </x:c>
      <x:c r="E307" s="11" t="n">
        <x:v>4766.39</x:v>
      </x:c>
      <x:c r="F307" s="2" t="str">
        <x:v>No</x:v>
      </x:c>
      <x:c r="G307" s="2" t="str"/>
    </x:row>
    <x:row r="308" ht="23" customHeight="1">
      <x:c r="A308" s="2" t="str">
        <x:v>INV00304</x:v>
      </x:c>
      <x:c r="B308" s="2" t="str">
        <x:v>C005</x:v>
      </x:c>
      <x:c r="C308" s="10" t="d">
        <x:v>2026-08-09T00:00:00.000Z</x:v>
      </x:c>
      <x:c r="D308" s="10" t="d">
        <x:v>2026-10-08T00:00:00.000Z</x:v>
      </x:c>
      <x:c r="E308" s="11" t="n">
        <x:v>3234.49</x:v>
      </x:c>
      <x:c r="F308" s="2" t="str">
        <x:v>No</x:v>
      </x:c>
      <x:c r="G308" s="2" t="str"/>
    </x:row>
    <x:row r="309" ht="23" customHeight="1">
      <x:c r="A309" s="2" t="str">
        <x:v>INV00305</x:v>
      </x:c>
      <x:c r="B309" s="2" t="str">
        <x:v>C017</x:v>
      </x:c>
      <x:c r="C309" s="10" t="d">
        <x:v>2026-01-06T00:00:00.000Z</x:v>
      </x:c>
      <x:c r="D309" s="10" t="d">
        <x:v>2026-03-07T00:00:00.000Z</x:v>
      </x:c>
      <x:c r="E309" s="11" t="n">
        <x:v>11720.54</x:v>
      </x:c>
      <x:c r="F309" s="2" t="str">
        <x:v>No</x:v>
      </x:c>
      <x:c r="G309" s="2" t="str"/>
    </x:row>
    <x:row r="310" ht="23" customHeight="1">
      <x:c r="A310" s="2" t="str">
        <x:v>INV00306</x:v>
      </x:c>
      <x:c r="B310" s="2" t="str">
        <x:v>C008</x:v>
      </x:c>
      <x:c r="C310" s="10" t="d">
        <x:v>2026-06-21T00:00:00.000Z</x:v>
      </x:c>
      <x:c r="D310" s="10" t="d">
        <x:v>2026-07-06T00:00:00.000Z</x:v>
      </x:c>
      <x:c r="E310" s="11" t="n">
        <x:v>2218.38</x:v>
      </x:c>
      <x:c r="F310" s="2" t="str">
        <x:v>No</x:v>
      </x:c>
      <x:c r="G310" s="2" t="str"/>
    </x:row>
    <x:row r="311" ht="23" customHeight="1">
      <x:c r="A311" s="2" t="str">
        <x:v>INV00307</x:v>
      </x:c>
      <x:c r="B311" s="2" t="str">
        <x:v>C033</x:v>
      </x:c>
      <x:c r="C311" s="10" t="d">
        <x:v>2026-07-19T00:00:00.000Z</x:v>
      </x:c>
      <x:c r="D311" s="10" t="d">
        <x:v>2026-08-18T00:00:00.000Z</x:v>
      </x:c>
      <x:c r="E311" s="11" t="n">
        <x:v>7483.44</x:v>
      </x:c>
      <x:c r="F311" s="2" t="str">
        <x:v>No</x:v>
      </x:c>
      <x:c r="G311" s="2" t="str"/>
    </x:row>
    <x:row r="312" ht="23" customHeight="1">
      <x:c r="A312" s="2" t="str">
        <x:v>INV00308</x:v>
      </x:c>
      <x:c r="B312" s="2" t="str">
        <x:v>C027</x:v>
      </x:c>
      <x:c r="C312" s="10" t="d">
        <x:v>2026-05-07T00:00:00.000Z</x:v>
      </x:c>
      <x:c r="D312" s="10" t="d">
        <x:v>2026-07-06T00:00:00.000Z</x:v>
      </x:c>
      <x:c r="E312" s="11" t="n">
        <x:v>8035.09</x:v>
      </x:c>
      <x:c r="F312" s="2" t="str">
        <x:v>No</x:v>
      </x:c>
      <x:c r="G312" s="2" t="str"/>
    </x:row>
    <x:row r="313" ht="23" customHeight="1">
      <x:c r="A313" s="2" t="str">
        <x:v>INV00309</x:v>
      </x:c>
      <x:c r="B313" s="2" t="str">
        <x:v>C028</x:v>
      </x:c>
      <x:c r="C313" s="10" t="d">
        <x:v>2026-04-03T00:00:00.000Z</x:v>
      </x:c>
      <x:c r="D313" s="10" t="d">
        <x:v>2026-05-03T00:00:00.000Z</x:v>
      </x:c>
      <x:c r="E313" s="11" t="n">
        <x:v>6992.98</x:v>
      </x:c>
      <x:c r="F313" s="2" t="str">
        <x:v>No</x:v>
      </x:c>
      <x:c r="G313" s="2" t="str"/>
    </x:row>
    <x:row r="314" ht="23" customHeight="1">
      <x:c r="A314" s="2" t="str">
        <x:v>INV00310</x:v>
      </x:c>
      <x:c r="B314" s="2" t="str">
        <x:v>C026</x:v>
      </x:c>
      <x:c r="C314" s="10" t="d">
        <x:v>2026-06-29T00:00:00.000Z</x:v>
      </x:c>
      <x:c r="D314" s="10" t="d">
        <x:v>2026-07-29T00:00:00.000Z</x:v>
      </x:c>
      <x:c r="E314" s="11" t="n">
        <x:v>3395.91</x:v>
      </x:c>
      <x:c r="F314" s="2" t="str">
        <x:v>No</x:v>
      </x:c>
      <x:c r="G314" s="2" t="str"/>
    </x:row>
    <x:row r="315" ht="23" customHeight="1">
      <x:c r="A315" s="2" t="str">
        <x:v>INV00311</x:v>
      </x:c>
      <x:c r="B315" s="2" t="str">
        <x:v>C032</x:v>
      </x:c>
      <x:c r="C315" s="10" t="d">
        <x:v>2026-06-04T00:00:00.000Z</x:v>
      </x:c>
      <x:c r="D315" s="10" t="d">
        <x:v>2026-07-19T00:00:00.000Z</x:v>
      </x:c>
      <x:c r="E315" s="11" t="n">
        <x:v>3600.36</x:v>
      </x:c>
      <x:c r="F315" s="2" t="str">
        <x:v>No</x:v>
      </x:c>
      <x:c r="G315" s="2" t="str"/>
    </x:row>
    <x:row r="316" ht="23" customHeight="1">
      <x:c r="A316" s="2" t="str">
        <x:v>INV00312</x:v>
      </x:c>
      <x:c r="B316" s="2" t="str">
        <x:v>C018</x:v>
      </x:c>
      <x:c r="C316" s="10" t="d">
        <x:v>2026-04-03T00:00:00.000Z</x:v>
      </x:c>
      <x:c r="D316" s="10" t="d">
        <x:v>2026-05-03T00:00:00.000Z</x:v>
      </x:c>
      <x:c r="E316" s="11" t="n">
        <x:v>18739.95</x:v>
      </x:c>
      <x:c r="F316" s="2" t="str">
        <x:v>Yes</x:v>
      </x:c>
      <x:c r="G316" s="2" t="str">
        <x:v>Invoice detail query</x:v>
      </x:c>
    </x:row>
    <x:row r="317" ht="23" customHeight="1">
      <x:c r="A317" s="2" t="str">
        <x:v>INV00313</x:v>
      </x:c>
      <x:c r="B317" s="2" t="str">
        <x:v>C034</x:v>
      </x:c>
      <x:c r="C317" s="10" t="d">
        <x:v>2026-07-18T00:00:00.000Z</x:v>
      </x:c>
      <x:c r="D317" s="10" t="d">
        <x:v>2026-09-16T00:00:00.000Z</x:v>
      </x:c>
      <x:c r="E317" s="11" t="n">
        <x:v>13802.44</x:v>
      </x:c>
      <x:c r="F317" s="2" t="str">
        <x:v>No</x:v>
      </x:c>
      <x:c r="G317" s="2" t="str"/>
    </x:row>
    <x:row r="318" ht="23" customHeight="1">
      <x:c r="A318" s="2" t="str">
        <x:v>INV00314</x:v>
      </x:c>
      <x:c r="B318" s="2" t="str">
        <x:v>C016</x:v>
      </x:c>
      <x:c r="C318" s="10" t="d">
        <x:v>2026-07-04T00:00:00.000Z</x:v>
      </x:c>
      <x:c r="D318" s="10" t="d">
        <x:v>2026-09-02T00:00:00.000Z</x:v>
      </x:c>
      <x:c r="E318" s="11" t="n">
        <x:v>19351.94</x:v>
      </x:c>
      <x:c r="F318" s="2" t="str">
        <x:v>No</x:v>
      </x:c>
      <x:c r="G318" s="2" t="str"/>
    </x:row>
    <x:row r="319" ht="23" customHeight="1">
      <x:c r="A319" s="2" t="str">
        <x:v>INV00315</x:v>
      </x:c>
      <x:c r="B319" s="2" t="str">
        <x:v>C009</x:v>
      </x:c>
      <x:c r="C319" s="10" t="d">
        <x:v>2026-01-25T00:00:00.000Z</x:v>
      </x:c>
      <x:c r="D319" s="10" t="d">
        <x:v>2026-03-26T00:00:00.000Z</x:v>
      </x:c>
      <x:c r="E319" s="11" t="n">
        <x:v>1130.36</x:v>
      </x:c>
      <x:c r="F319" s="2" t="str">
        <x:v>No</x:v>
      </x:c>
      <x:c r="G319" s="2" t="str"/>
    </x:row>
    <x:row r="320" ht="23" customHeight="1">
      <x:c r="A320" s="2" t="str">
        <x:v>INV00316</x:v>
      </x:c>
      <x:c r="B320" s="2" t="str">
        <x:v>C006</x:v>
      </x:c>
      <x:c r="C320" s="10" t="d">
        <x:v>2026-07-16T00:00:00.000Z</x:v>
      </x:c>
      <x:c r="D320" s="10" t="d">
        <x:v>2026-08-30T00:00:00.000Z</x:v>
      </x:c>
      <x:c r="E320" s="11" t="n">
        <x:v>17121.61</x:v>
      </x:c>
      <x:c r="F320" s="2" t="str">
        <x:v>No</x:v>
      </x:c>
      <x:c r="G320" s="2" t="str"/>
    </x:row>
    <x:row r="321" ht="23" customHeight="1">
      <x:c r="A321" s="2" t="str">
        <x:v>INV00317</x:v>
      </x:c>
      <x:c r="B321" s="2" t="str">
        <x:v>C001</x:v>
      </x:c>
      <x:c r="C321" s="10" t="d">
        <x:v>2026-03-02T00:00:00.000Z</x:v>
      </x:c>
      <x:c r="D321" s="10" t="d">
        <x:v>2026-05-01T00:00:00.000Z</x:v>
      </x:c>
      <x:c r="E321" s="11" t="n">
        <x:v>13291.12</x:v>
      </x:c>
      <x:c r="F321" s="2" t="str">
        <x:v>No</x:v>
      </x:c>
      <x:c r="G321" s="2" t="str"/>
    </x:row>
    <x:row r="322" ht="23" customHeight="1">
      <x:c r="A322" s="2" t="str">
        <x:v>INV00318</x:v>
      </x:c>
      <x:c r="B322" s="2" t="str">
        <x:v>C020</x:v>
      </x:c>
      <x:c r="C322" s="10" t="d">
        <x:v>2026-06-20T00:00:00.000Z</x:v>
      </x:c>
      <x:c r="D322" s="10" t="d">
        <x:v>2026-08-19T00:00:00.000Z</x:v>
      </x:c>
      <x:c r="E322" s="11" t="n">
        <x:v>6424.75</x:v>
      </x:c>
      <x:c r="F322" s="2" t="str">
        <x:v>No</x:v>
      </x:c>
      <x:c r="G322" s="2" t="str"/>
    </x:row>
    <x:row r="323" ht="23" customHeight="1">
      <x:c r="A323" s="2" t="str">
        <x:v>INV00319</x:v>
      </x:c>
      <x:c r="B323" s="2" t="str">
        <x:v>C019</x:v>
      </x:c>
      <x:c r="C323" s="10" t="d">
        <x:v>2026-08-03T00:00:00.000Z</x:v>
      </x:c>
      <x:c r="D323" s="10" t="d">
        <x:v>2026-09-17T00:00:00.000Z</x:v>
      </x:c>
      <x:c r="E323" s="11" t="n">
        <x:v>18672.24</x:v>
      </x:c>
      <x:c r="F323" s="2" t="str">
        <x:v>No</x:v>
      </x:c>
      <x:c r="G323" s="2" t="str"/>
    </x:row>
    <x:row r="324" ht="23" customHeight="1">
      <x:c r="A324" s="2" t="str">
        <x:v>INV00320</x:v>
      </x:c>
      <x:c r="B324" s="2" t="str">
        <x:v>C020</x:v>
      </x:c>
      <x:c r="C324" s="10" t="d">
        <x:v>2026-01-02T00:00:00.000Z</x:v>
      </x:c>
      <x:c r="D324" s="10" t="d">
        <x:v>2026-02-16T00:00:00.000Z</x:v>
      </x:c>
      <x:c r="E324" s="11" t="n">
        <x:v>8491.22</x:v>
      </x:c>
      <x:c r="F324" s="2" t="str">
        <x:v>No</x:v>
      </x:c>
      <x:c r="G324" s="2" t="str"/>
    </x:row>
    <x:row r="325" ht="23" customHeight="1">
      <x:c r="A325" s="2" t="str">
        <x:v>INV00321</x:v>
      </x:c>
      <x:c r="B325" s="2" t="str">
        <x:v>C036</x:v>
      </x:c>
      <x:c r="C325" s="10" t="d">
        <x:v>2026-01-21T00:00:00.000Z</x:v>
      </x:c>
      <x:c r="D325" s="10" t="d">
        <x:v>2026-03-07T00:00:00.000Z</x:v>
      </x:c>
      <x:c r="E325" s="11" t="n">
        <x:v>15650.32</x:v>
      </x:c>
      <x:c r="F325" s="2" t="str">
        <x:v>No</x:v>
      </x:c>
      <x:c r="G325" s="2" t="str"/>
    </x:row>
    <x:row r="326" ht="23" customHeight="1">
      <x:c r="A326" s="2" t="str">
        <x:v>INV00322</x:v>
      </x:c>
      <x:c r="B326" s="2" t="str">
        <x:v>C008</x:v>
      </x:c>
      <x:c r="C326" s="10" t="d">
        <x:v>2026-01-23T00:00:00.000Z</x:v>
      </x:c>
      <x:c r="D326" s="10" t="d">
        <x:v>2026-03-24T00:00:00.000Z</x:v>
      </x:c>
      <x:c r="E326" s="11" t="n">
        <x:v>16063.32</x:v>
      </x:c>
      <x:c r="F326" s="2" t="str">
        <x:v>No</x:v>
      </x:c>
      <x:c r="G326" s="2" t="str"/>
    </x:row>
    <x:row r="327" ht="23" customHeight="1">
      <x:c r="A327" s="2" t="str">
        <x:v>INV00323</x:v>
      </x:c>
      <x:c r="B327" s="2" t="str">
        <x:v>C028</x:v>
      </x:c>
      <x:c r="C327" s="10" t="d">
        <x:v>2026-02-09T00:00:00.000Z</x:v>
      </x:c>
      <x:c r="D327" s="10" t="d">
        <x:v>2026-03-26T00:00:00.000Z</x:v>
      </x:c>
      <x:c r="E327" s="11" t="n">
        <x:v>16674.47</x:v>
      </x:c>
      <x:c r="F327" s="2" t="str">
        <x:v>No</x:v>
      </x:c>
      <x:c r="G327" s="2" t="str"/>
    </x:row>
    <x:row r="328" ht="23" customHeight="1">
      <x:c r="A328" s="2" t="str">
        <x:v>INV00324</x:v>
      </x:c>
      <x:c r="B328" s="2" t="str">
        <x:v>C019</x:v>
      </x:c>
      <x:c r="C328" s="10" t="d">
        <x:v>2026-03-07T00:00:00.000Z</x:v>
      </x:c>
      <x:c r="D328" s="10" t="d">
        <x:v>2026-03-22T00:00:00.000Z</x:v>
      </x:c>
      <x:c r="E328" s="11" t="n">
        <x:v>6937.2</x:v>
      </x:c>
      <x:c r="F328" s="2" t="str">
        <x:v>No</x:v>
      </x:c>
      <x:c r="G328" s="2" t="str"/>
    </x:row>
    <x:row r="329" ht="23" customHeight="1">
      <x:c r="A329" s="2" t="str">
        <x:v>INV00325</x:v>
      </x:c>
      <x:c r="B329" s="2" t="str">
        <x:v>C038</x:v>
      </x:c>
      <x:c r="C329" s="10" t="d">
        <x:v>2026-09-14T00:00:00.000Z</x:v>
      </x:c>
      <x:c r="D329" s="10" t="d">
        <x:v>2026-10-14T00:00:00.000Z</x:v>
      </x:c>
      <x:c r="E329" s="11" t="n">
        <x:v>14898.45</x:v>
      </x:c>
      <x:c r="F329" s="2" t="str">
        <x:v>Yes</x:v>
      </x:c>
      <x:c r="G329" s="2" t="str">
        <x:v>Service acceptance pending</x:v>
      </x:c>
    </x:row>
    <x:row r="330" ht="23" customHeight="1">
      <x:c r="A330" s="2" t="str">
        <x:v>INV00326</x:v>
      </x:c>
      <x:c r="B330" s="2" t="str">
        <x:v>C004</x:v>
      </x:c>
      <x:c r="C330" s="10" t="d">
        <x:v>2026-02-21T00:00:00.000Z</x:v>
      </x:c>
      <x:c r="D330" s="10" t="d">
        <x:v>2026-03-23T00:00:00.000Z</x:v>
      </x:c>
      <x:c r="E330" s="11" t="n">
        <x:v>10774.43</x:v>
      </x:c>
      <x:c r="F330" s="2" t="str">
        <x:v>No</x:v>
      </x:c>
      <x:c r="G330" s="2" t="str"/>
    </x:row>
    <x:row r="331" ht="23" customHeight="1">
      <x:c r="A331" s="2" t="str">
        <x:v>INV00327</x:v>
      </x:c>
      <x:c r="B331" s="2" t="str">
        <x:v>C024</x:v>
      </x:c>
      <x:c r="C331" s="10" t="d">
        <x:v>2026-03-24T00:00:00.000Z</x:v>
      </x:c>
      <x:c r="D331" s="10" t="d">
        <x:v>2026-04-23T00:00:00.000Z</x:v>
      </x:c>
      <x:c r="E331" s="11" t="n">
        <x:v>12587.95</x:v>
      </x:c>
      <x:c r="F331" s="2" t="str">
        <x:v>No</x:v>
      </x:c>
      <x:c r="G331" s="2" t="str"/>
    </x:row>
    <x:row r="332" ht="23" customHeight="1">
      <x:c r="A332" s="2" t="str">
        <x:v>INV00328</x:v>
      </x:c>
      <x:c r="B332" s="2" t="str">
        <x:v>C026</x:v>
      </x:c>
      <x:c r="C332" s="10" t="d">
        <x:v>2026-02-26T00:00:00.000Z</x:v>
      </x:c>
      <x:c r="D332" s="10" t="d">
        <x:v>2026-04-12T00:00:00.000Z</x:v>
      </x:c>
      <x:c r="E332" s="11" t="n">
        <x:v>11805.48</x:v>
      </x:c>
      <x:c r="F332" s="2" t="str">
        <x:v>No</x:v>
      </x:c>
      <x:c r="G332" s="2" t="str"/>
    </x:row>
    <x:row r="333" ht="23" customHeight="1">
      <x:c r="A333" s="2" t="str">
        <x:v>INV00329</x:v>
      </x:c>
      <x:c r="B333" s="2" t="str">
        <x:v>C027</x:v>
      </x:c>
      <x:c r="C333" s="10" t="d">
        <x:v>2026-08-29T00:00:00.000Z</x:v>
      </x:c>
      <x:c r="D333" s="10" t="d">
        <x:v>2026-09-28T00:00:00.000Z</x:v>
      </x:c>
      <x:c r="E333" s="11" t="n">
        <x:v>3934.4</x:v>
      </x:c>
      <x:c r="F333" s="2" t="str">
        <x:v>Yes</x:v>
      </x:c>
      <x:c r="G333" s="2" t="str">
        <x:v>Pricing query</x:v>
      </x:c>
    </x:row>
    <x:row r="334" ht="23" customHeight="1">
      <x:c r="A334" s="2" t="str">
        <x:v>INV00330</x:v>
      </x:c>
      <x:c r="B334" s="2" t="str">
        <x:v>C023</x:v>
      </x:c>
      <x:c r="C334" s="10" t="d">
        <x:v>2026-01-05T00:00:00.000Z</x:v>
      </x:c>
      <x:c r="D334" s="10" t="d">
        <x:v>2026-01-20T00:00:00.000Z</x:v>
      </x:c>
      <x:c r="E334" s="11" t="n">
        <x:v>5873.71</x:v>
      </x:c>
      <x:c r="F334" s="2" t="str">
        <x:v>No</x:v>
      </x:c>
      <x:c r="G334" s="2" t="str"/>
    </x:row>
    <x:row r="335" ht="23" customHeight="1">
      <x:c r="A335" s="2" t="str">
        <x:v>INV00331</x:v>
      </x:c>
      <x:c r="B335" s="2" t="str">
        <x:v>C036</x:v>
      </x:c>
      <x:c r="C335" s="10" t="d">
        <x:v>2026-09-19T00:00:00.000Z</x:v>
      </x:c>
      <x:c r="D335" s="10" t="d">
        <x:v>2026-10-19T00:00:00.000Z</x:v>
      </x:c>
      <x:c r="E335" s="11" t="n">
        <x:v>5810.11</x:v>
      </x:c>
      <x:c r="F335" s="2" t="str">
        <x:v>No</x:v>
      </x:c>
      <x:c r="G335" s="2" t="str"/>
    </x:row>
    <x:row r="336" ht="23" customHeight="1">
      <x:c r="A336" s="2" t="str">
        <x:v>INV00332</x:v>
      </x:c>
      <x:c r="B336" s="2" t="str">
        <x:v>C005</x:v>
      </x:c>
      <x:c r="C336" s="10" t="d">
        <x:v>2026-04-06T00:00:00.000Z</x:v>
      </x:c>
      <x:c r="D336" s="10" t="d">
        <x:v>2026-05-21T00:00:00.000Z</x:v>
      </x:c>
      <x:c r="E336" s="11" t="n">
        <x:v>12889.22</x:v>
      </x:c>
      <x:c r="F336" s="2" t="str">
        <x:v>No</x:v>
      </x:c>
      <x:c r="G336" s="2" t="str"/>
    </x:row>
    <x:row r="337" ht="23" customHeight="1">
      <x:c r="A337" s="2" t="str">
        <x:v>INV00333</x:v>
      </x:c>
      <x:c r="B337" s="2" t="str">
        <x:v>C032</x:v>
      </x:c>
      <x:c r="C337" s="10" t="d">
        <x:v>2026-04-27T00:00:00.000Z</x:v>
      </x:c>
      <x:c r="D337" s="10" t="d">
        <x:v>2026-05-27T00:00:00.000Z</x:v>
      </x:c>
      <x:c r="E337" s="11" t="n">
        <x:v>12022.41</x:v>
      </x:c>
      <x:c r="F337" s="2" t="str">
        <x:v>Yes</x:v>
      </x:c>
      <x:c r="G337" s="2" t="str">
        <x:v>Pricing query</x:v>
      </x:c>
    </x:row>
    <x:row r="338" ht="23" customHeight="1">
      <x:c r="A338" s="2" t="str">
        <x:v>INV00334</x:v>
      </x:c>
      <x:c r="B338" s="2" t="str">
        <x:v>C037</x:v>
      </x:c>
      <x:c r="C338" s="10" t="d">
        <x:v>2026-05-12T00:00:00.000Z</x:v>
      </x:c>
      <x:c r="D338" s="10" t="d">
        <x:v>2026-05-27T00:00:00.000Z</x:v>
      </x:c>
      <x:c r="E338" s="11" t="n">
        <x:v>6567.03</x:v>
      </x:c>
      <x:c r="F338" s="2" t="str">
        <x:v>Yes</x:v>
      </x:c>
      <x:c r="G338" s="2" t="str">
        <x:v>Pricing query</x:v>
      </x:c>
    </x:row>
    <x:row r="339" ht="23" customHeight="1">
      <x:c r="A339" s="2" t="str">
        <x:v>INV00335</x:v>
      </x:c>
      <x:c r="B339" s="2" t="str">
        <x:v>C034</x:v>
      </x:c>
      <x:c r="C339" s="10" t="d">
        <x:v>2026-07-23T00:00:00.000Z</x:v>
      </x:c>
      <x:c r="D339" s="10" t="d">
        <x:v>2026-09-21T00:00:00.000Z</x:v>
      </x:c>
      <x:c r="E339" s="11" t="n">
        <x:v>14014.82</x:v>
      </x:c>
      <x:c r="F339" s="2" t="str">
        <x:v>No</x:v>
      </x:c>
      <x:c r="G339" s="2" t="str"/>
    </x:row>
    <x:row r="340" ht="23" customHeight="1">
      <x:c r="A340" s="2" t="str">
        <x:v>INV00336</x:v>
      </x:c>
      <x:c r="B340" s="2" t="str">
        <x:v>C020</x:v>
      </x:c>
      <x:c r="C340" s="10" t="d">
        <x:v>2026-04-15T00:00:00.000Z</x:v>
      </x:c>
      <x:c r="D340" s="10" t="d">
        <x:v>2026-05-15T00:00:00.000Z</x:v>
      </x:c>
      <x:c r="E340" s="11" t="n">
        <x:v>10508.45</x:v>
      </x:c>
      <x:c r="F340" s="2" t="str">
        <x:v>No</x:v>
      </x:c>
      <x:c r="G340" s="2" t="str"/>
    </x:row>
    <x:row r="341" ht="23" customHeight="1">
      <x:c r="A341" s="2" t="str">
        <x:v>INV00337</x:v>
      </x:c>
      <x:c r="B341" s="2" t="str">
        <x:v>C027</x:v>
      </x:c>
      <x:c r="C341" s="10" t="d">
        <x:v>2026-07-08T00:00:00.000Z</x:v>
      </x:c>
      <x:c r="D341" s="10" t="d">
        <x:v>2026-08-07T00:00:00.000Z</x:v>
      </x:c>
      <x:c r="E341" s="11" t="n">
        <x:v>11398.81</x:v>
      </x:c>
      <x:c r="F341" s="2" t="str">
        <x:v>No</x:v>
      </x:c>
      <x:c r="G341" s="2" t="str"/>
    </x:row>
    <x:row r="342" ht="23" customHeight="1">
      <x:c r="A342" s="2" t="str">
        <x:v>INV00338</x:v>
      </x:c>
      <x:c r="B342" s="2" t="str">
        <x:v>C017</x:v>
      </x:c>
      <x:c r="C342" s="10" t="d">
        <x:v>2026-01-04T00:00:00.000Z</x:v>
      </x:c>
      <x:c r="D342" s="10" t="d">
        <x:v>2026-01-19T00:00:00.000Z</x:v>
      </x:c>
      <x:c r="E342" s="11" t="n">
        <x:v>3708.91</x:v>
      </x:c>
      <x:c r="F342" s="2" t="str">
        <x:v>No</x:v>
      </x:c>
      <x:c r="G342" s="2" t="str"/>
    </x:row>
    <x:row r="343" ht="23" customHeight="1">
      <x:c r="A343" s="2" t="str">
        <x:v>INV00339</x:v>
      </x:c>
      <x:c r="B343" s="2" t="str">
        <x:v>C023</x:v>
      </x:c>
      <x:c r="C343" s="10" t="d">
        <x:v>2026-05-17T00:00:00.000Z</x:v>
      </x:c>
      <x:c r="D343" s="10" t="d">
        <x:v>2026-06-01T00:00:00.000Z</x:v>
      </x:c>
      <x:c r="E343" s="11" t="n">
        <x:v>17500.3</x:v>
      </x:c>
      <x:c r="F343" s="2" t="str">
        <x:v>No</x:v>
      </x:c>
      <x:c r="G343" s="2" t="str"/>
    </x:row>
    <x:row r="344" ht="23" customHeight="1">
      <x:c r="A344" s="2" t="str">
        <x:v>INV00340</x:v>
      </x:c>
      <x:c r="B344" s="2" t="str">
        <x:v>C022</x:v>
      </x:c>
      <x:c r="C344" s="10" t="d">
        <x:v>2026-07-27T00:00:00.000Z</x:v>
      </x:c>
      <x:c r="D344" s="10" t="d">
        <x:v>2026-08-26T00:00:00.000Z</x:v>
      </x:c>
      <x:c r="E344" s="11" t="n">
        <x:v>10599.28</x:v>
      </x:c>
      <x:c r="F344" s="2" t="str">
        <x:v>No</x:v>
      </x:c>
      <x:c r="G344" s="2" t="str"/>
    </x:row>
    <x:row r="345" ht="23" customHeight="1">
      <x:c r="A345" s="2" t="str">
        <x:v>INV00341</x:v>
      </x:c>
      <x:c r="B345" s="2" t="str">
        <x:v>C002</x:v>
      </x:c>
      <x:c r="C345" s="10" t="d">
        <x:v>2026-02-17T00:00:00.000Z</x:v>
      </x:c>
      <x:c r="D345" s="10" t="d">
        <x:v>2026-04-18T00:00:00.000Z</x:v>
      </x:c>
      <x:c r="E345" s="11" t="n">
        <x:v>4086.08</x:v>
      </x:c>
      <x:c r="F345" s="2" t="str">
        <x:v>No</x:v>
      </x:c>
      <x:c r="G345" s="2" t="str"/>
    </x:row>
    <x:row r="346" ht="23" customHeight="1">
      <x:c r="A346" s="2" t="str">
        <x:v>INV00342</x:v>
      </x:c>
      <x:c r="B346" s="2" t="str">
        <x:v>C007</x:v>
      </x:c>
      <x:c r="C346" s="10" t="d">
        <x:v>2026-03-18T00:00:00.000Z</x:v>
      </x:c>
      <x:c r="D346" s="10" t="d">
        <x:v>2026-04-17T00:00:00.000Z</x:v>
      </x:c>
      <x:c r="E346" s="11" t="n">
        <x:v>10273.48</x:v>
      </x:c>
      <x:c r="F346" s="2" t="str">
        <x:v>No</x:v>
      </x:c>
      <x:c r="G346" s="2" t="str"/>
    </x:row>
    <x:row r="347" ht="23" customHeight="1">
      <x:c r="A347" s="2" t="str">
        <x:v>INV00343</x:v>
      </x:c>
      <x:c r="B347" s="2" t="str">
        <x:v>C001</x:v>
      </x:c>
      <x:c r="C347" s="10" t="d">
        <x:v>2026-03-31T00:00:00.000Z</x:v>
      </x:c>
      <x:c r="D347" s="10" t="d">
        <x:v>2026-04-15T00:00:00.000Z</x:v>
      </x:c>
      <x:c r="E347" s="11" t="n">
        <x:v>17938.84</x:v>
      </x:c>
      <x:c r="F347" s="2" t="str">
        <x:v>No</x:v>
      </x:c>
      <x:c r="G347" s="2" t="str"/>
    </x:row>
    <x:row r="348" ht="23" customHeight="1">
      <x:c r="A348" s="2" t="str">
        <x:v>INV00344</x:v>
      </x:c>
      <x:c r="B348" s="2" t="str">
        <x:v>C024</x:v>
      </x:c>
      <x:c r="C348" s="10" t="d">
        <x:v>2026-08-06T00:00:00.000Z</x:v>
      </x:c>
      <x:c r="D348" s="10" t="d">
        <x:v>2026-09-05T00:00:00.000Z</x:v>
      </x:c>
      <x:c r="E348" s="11" t="n">
        <x:v>18831.41</x:v>
      </x:c>
      <x:c r="F348" s="2" t="str">
        <x:v>No</x:v>
      </x:c>
      <x:c r="G348" s="2" t="str"/>
    </x:row>
    <x:row r="349" ht="23" customHeight="1">
      <x:c r="A349" s="2" t="str">
        <x:v>INV00345</x:v>
      </x:c>
      <x:c r="B349" s="2" t="str">
        <x:v>C024</x:v>
      </x:c>
      <x:c r="C349" s="10" t="d">
        <x:v>2026-07-14T00:00:00.000Z</x:v>
      </x:c>
      <x:c r="D349" s="10" t="d">
        <x:v>2026-09-12T00:00:00.000Z</x:v>
      </x:c>
      <x:c r="E349" s="11" t="n">
        <x:v>17979.5</x:v>
      </x:c>
      <x:c r="F349" s="2" t="str">
        <x:v>No</x:v>
      </x:c>
      <x:c r="G349" s="2" t="str"/>
    </x:row>
    <x:row r="350" ht="23" customHeight="1">
      <x:c r="A350" s="2" t="str">
        <x:v>INV00346</x:v>
      </x:c>
      <x:c r="B350" s="2" t="str">
        <x:v>C016</x:v>
      </x:c>
      <x:c r="C350" s="10" t="d">
        <x:v>2026-03-15T00:00:00.000Z</x:v>
      </x:c>
      <x:c r="D350" s="10" t="d">
        <x:v>2026-04-14T00:00:00.000Z</x:v>
      </x:c>
      <x:c r="E350" s="11" t="n">
        <x:v>11117.92</x:v>
      </x:c>
      <x:c r="F350" s="2" t="str">
        <x:v>No</x:v>
      </x:c>
      <x:c r="G350" s="2" t="str"/>
    </x:row>
    <x:row r="351" ht="23" customHeight="1">
      <x:c r="A351" s="2" t="str">
        <x:v>INV00347</x:v>
      </x:c>
      <x:c r="B351" s="2" t="str">
        <x:v>C018</x:v>
      </x:c>
      <x:c r="C351" s="10" t="d">
        <x:v>2026-01-08T00:00:00.000Z</x:v>
      </x:c>
      <x:c r="D351" s="10" t="d">
        <x:v>2026-01-23T00:00:00.000Z</x:v>
      </x:c>
      <x:c r="E351" s="11" t="n">
        <x:v>19833.26</x:v>
      </x:c>
      <x:c r="F351" s="2" t="str">
        <x:v>No</x:v>
      </x:c>
      <x:c r="G351" s="2" t="str"/>
    </x:row>
    <x:row r="352" ht="23" customHeight="1">
      <x:c r="A352" s="2" t="str">
        <x:v>INV00348</x:v>
      </x:c>
      <x:c r="B352" s="2" t="str">
        <x:v>C036</x:v>
      </x:c>
      <x:c r="C352" s="10" t="d">
        <x:v>2026-06-29T00:00:00.000Z</x:v>
      </x:c>
      <x:c r="D352" s="10" t="d">
        <x:v>2026-07-14T00:00:00.000Z</x:v>
      </x:c>
      <x:c r="E352" s="11" t="n">
        <x:v>9320.6</x:v>
      </x:c>
      <x:c r="F352" s="2" t="str">
        <x:v>No</x:v>
      </x:c>
      <x:c r="G352" s="2" t="str"/>
    </x:row>
    <x:row r="353" ht="23" customHeight="1">
      <x:c r="A353" s="2" t="str">
        <x:v>INV00349</x:v>
      </x:c>
      <x:c r="B353" s="2" t="str">
        <x:v>C027</x:v>
      </x:c>
      <x:c r="C353" s="10" t="d">
        <x:v>2026-07-02T00:00:00.000Z</x:v>
      </x:c>
      <x:c r="D353" s="10" t="d">
        <x:v>2026-08-01T00:00:00.000Z</x:v>
      </x:c>
      <x:c r="E353" s="11" t="n">
        <x:v>12016.09</x:v>
      </x:c>
      <x:c r="F353" s="2" t="str">
        <x:v>No</x:v>
      </x:c>
      <x:c r="G353" s="2" t="str"/>
    </x:row>
    <x:row r="354" ht="23" customHeight="1">
      <x:c r="A354" s="2" t="str">
        <x:v>INV00350</x:v>
      </x:c>
      <x:c r="B354" s="2" t="str">
        <x:v>C007</x:v>
      </x:c>
      <x:c r="C354" s="10" t="d">
        <x:v>2026-03-21T00:00:00.000Z</x:v>
      </x:c>
      <x:c r="D354" s="10" t="d">
        <x:v>2026-04-20T00:00:00.000Z</x:v>
      </x:c>
      <x:c r="E354" s="11" t="n">
        <x:v>13822.64</x:v>
      </x:c>
      <x:c r="F354" s="2" t="str">
        <x:v>No</x:v>
      </x:c>
      <x:c r="G354" s="2" t="str"/>
    </x:row>
    <x:row r="355" ht="23" customHeight="1">
      <x:c r="A355" s="2" t="str">
        <x:v>INV00351</x:v>
      </x:c>
      <x:c r="B355" s="2" t="str">
        <x:v>C019</x:v>
      </x:c>
      <x:c r="C355" s="10" t="d">
        <x:v>2026-02-12T00:00:00.000Z</x:v>
      </x:c>
      <x:c r="D355" s="10" t="d">
        <x:v>2026-03-14T00:00:00.000Z</x:v>
      </x:c>
      <x:c r="E355" s="11" t="n">
        <x:v>2066.2</x:v>
      </x:c>
      <x:c r="F355" s="2" t="str">
        <x:v>No</x:v>
      </x:c>
      <x:c r="G355" s="2" t="str"/>
    </x:row>
    <x:row r="356" ht="23" customHeight="1">
      <x:c r="A356" s="2" t="str">
        <x:v>INV00352</x:v>
      </x:c>
      <x:c r="B356" s="2" t="str">
        <x:v>C016</x:v>
      </x:c>
      <x:c r="C356" s="10" t="d">
        <x:v>2026-02-07T00:00:00.000Z</x:v>
      </x:c>
      <x:c r="D356" s="10" t="d">
        <x:v>2026-04-08T00:00:00.000Z</x:v>
      </x:c>
      <x:c r="E356" s="11" t="n">
        <x:v>14243.29</x:v>
      </x:c>
      <x:c r="F356" s="2" t="str">
        <x:v>No</x:v>
      </x:c>
      <x:c r="G356" s="2" t="str"/>
    </x:row>
    <x:row r="357" ht="23" customHeight="1">
      <x:c r="A357" s="2" t="str">
        <x:v>INV00353</x:v>
      </x:c>
      <x:c r="B357" s="2" t="str">
        <x:v>C006</x:v>
      </x:c>
      <x:c r="C357" s="10" t="d">
        <x:v>2026-01-12T00:00:00.000Z</x:v>
      </x:c>
      <x:c r="D357" s="10" t="d">
        <x:v>2026-02-11T00:00:00.000Z</x:v>
      </x:c>
      <x:c r="E357" s="11" t="n">
        <x:v>2645.37</x:v>
      </x:c>
      <x:c r="F357" s="2" t="str">
        <x:v>No</x:v>
      </x:c>
      <x:c r="G357" s="2" t="str"/>
    </x:row>
    <x:row r="358" ht="23" customHeight="1">
      <x:c r="A358" s="2" t="str">
        <x:v>INV00354</x:v>
      </x:c>
      <x:c r="B358" s="2" t="str">
        <x:v>C024</x:v>
      </x:c>
      <x:c r="C358" s="10" t="d">
        <x:v>2026-09-06T00:00:00.000Z</x:v>
      </x:c>
      <x:c r="D358" s="10" t="d">
        <x:v>2026-11-05T00:00:00.000Z</x:v>
      </x:c>
      <x:c r="E358" s="11" t="n">
        <x:v>14726.33</x:v>
      </x:c>
      <x:c r="F358" s="2" t="str">
        <x:v>No</x:v>
      </x:c>
      <x:c r="G358" s="2" t="str"/>
    </x:row>
    <x:row r="359" ht="23" customHeight="1">
      <x:c r="A359" s="2" t="str">
        <x:v>INV00355</x:v>
      </x:c>
      <x:c r="B359" s="2" t="str">
        <x:v>C028</x:v>
      </x:c>
      <x:c r="C359" s="10" t="d">
        <x:v>2026-03-24T00:00:00.000Z</x:v>
      </x:c>
      <x:c r="D359" s="10" t="d">
        <x:v>2026-05-23T00:00:00.000Z</x:v>
      </x:c>
      <x:c r="E359" s="11" t="n">
        <x:v>5368.34</x:v>
      </x:c>
      <x:c r="F359" s="2" t="str">
        <x:v>No</x:v>
      </x:c>
      <x:c r="G359" s="2" t="str"/>
    </x:row>
    <x:row r="360" ht="23" customHeight="1">
      <x:c r="A360" s="2" t="str">
        <x:v>INV00356</x:v>
      </x:c>
      <x:c r="B360" s="2" t="str">
        <x:v>C030</x:v>
      </x:c>
      <x:c r="C360" s="10" t="d">
        <x:v>2026-07-13T00:00:00.000Z</x:v>
      </x:c>
      <x:c r="D360" s="10" t="d">
        <x:v>2026-08-27T00:00:00.000Z</x:v>
      </x:c>
      <x:c r="E360" s="11" t="n">
        <x:v>11366.14</x:v>
      </x:c>
      <x:c r="F360" s="2" t="str">
        <x:v>No</x:v>
      </x:c>
      <x:c r="G360" s="2" t="str"/>
    </x:row>
    <x:row r="361" ht="23" customHeight="1">
      <x:c r="A361" s="2" t="str">
        <x:v>INV00357</x:v>
      </x:c>
      <x:c r="B361" s="2" t="str">
        <x:v>C006</x:v>
      </x:c>
      <x:c r="C361" s="10" t="d">
        <x:v>2026-09-20T00:00:00.000Z</x:v>
      </x:c>
      <x:c r="D361" s="10" t="d">
        <x:v>2026-11-04T00:00:00.000Z</x:v>
      </x:c>
      <x:c r="E361" s="11" t="n">
        <x:v>17065.36</x:v>
      </x:c>
      <x:c r="F361" s="2" t="str">
        <x:v>Yes</x:v>
      </x:c>
      <x:c r="G361" s="2" t="str">
        <x:v>Service acceptance pending</x:v>
      </x:c>
    </x:row>
    <x:row r="362" ht="23" customHeight="1">
      <x:c r="A362" s="2" t="str">
        <x:v>INV00358</x:v>
      </x:c>
      <x:c r="B362" s="2" t="str">
        <x:v>C023</x:v>
      </x:c>
      <x:c r="C362" s="10" t="d">
        <x:v>2026-02-15T00:00:00.000Z</x:v>
      </x:c>
      <x:c r="D362" s="10" t="d">
        <x:v>2026-04-01T00:00:00.000Z</x:v>
      </x:c>
      <x:c r="E362" s="11" t="n">
        <x:v>10707.44</x:v>
      </x:c>
      <x:c r="F362" s="2" t="str">
        <x:v>No</x:v>
      </x:c>
      <x:c r="G362" s="2" t="str"/>
    </x:row>
    <x:row r="363" ht="23" customHeight="1">
      <x:c r="A363" s="2" t="str">
        <x:v>INV00359</x:v>
      </x:c>
      <x:c r="B363" s="2" t="str">
        <x:v>C006</x:v>
      </x:c>
      <x:c r="C363" s="10" t="d">
        <x:v>2026-03-24T00:00:00.000Z</x:v>
      </x:c>
      <x:c r="D363" s="10" t="d">
        <x:v>2026-04-08T00:00:00.000Z</x:v>
      </x:c>
      <x:c r="E363" s="11" t="n">
        <x:v>6252.45</x:v>
      </x:c>
      <x:c r="F363" s="2" t="str">
        <x:v>No</x:v>
      </x:c>
      <x:c r="G363" s="2" t="str"/>
    </x:row>
    <x:row r="364" ht="23" customHeight="1">
      <x:c r="A364" s="2" t="str">
        <x:v>INV00360</x:v>
      </x:c>
      <x:c r="B364" s="2" t="str">
        <x:v>C024</x:v>
      </x:c>
      <x:c r="C364" s="10" t="d">
        <x:v>2026-07-09T00:00:00.000Z</x:v>
      </x:c>
      <x:c r="D364" s="10" t="d">
        <x:v>2026-08-23T00:00:00.000Z</x:v>
      </x:c>
      <x:c r="E364" s="11" t="n">
        <x:v>5432.92</x:v>
      </x:c>
      <x:c r="F364" s="2" t="str">
        <x:v>No</x:v>
      </x:c>
      <x:c r="G364" s="2" t="str"/>
    </x:row>
    <x:row r="365" ht="23" customHeight="1">
      <x:c r="A365" s="2" t="str">
        <x:v>INV00361</x:v>
      </x:c>
      <x:c r="B365" s="2" t="str">
        <x:v>C008</x:v>
      </x:c>
      <x:c r="C365" s="10" t="d">
        <x:v>2026-03-13T00:00:00.000Z</x:v>
      </x:c>
      <x:c r="D365" s="10" t="d">
        <x:v>2026-05-12T00:00:00.000Z</x:v>
      </x:c>
      <x:c r="E365" s="11" t="n">
        <x:v>2533.31</x:v>
      </x:c>
      <x:c r="F365" s="2" t="str">
        <x:v>No</x:v>
      </x:c>
      <x:c r="G365" s="2" t="str"/>
    </x:row>
    <x:row r="366" ht="23" customHeight="1">
      <x:c r="A366" s="2" t="str">
        <x:v>INV00362</x:v>
      </x:c>
      <x:c r="B366" s="2" t="str">
        <x:v>C028</x:v>
      </x:c>
      <x:c r="C366" s="10" t="d">
        <x:v>2026-05-15T00:00:00.000Z</x:v>
      </x:c>
      <x:c r="D366" s="10" t="d">
        <x:v>2026-06-14T00:00:00.000Z</x:v>
      </x:c>
      <x:c r="E366" s="11" t="n">
        <x:v>9423.04</x:v>
      </x:c>
      <x:c r="F366" s="2" t="str">
        <x:v>No</x:v>
      </x:c>
      <x:c r="G366" s="2" t="str"/>
    </x:row>
    <x:row r="367" ht="23" customHeight="1">
      <x:c r="A367" s="2" t="str">
        <x:v>INV00363</x:v>
      </x:c>
      <x:c r="B367" s="2" t="str">
        <x:v>C021</x:v>
      </x:c>
      <x:c r="C367" s="10" t="d">
        <x:v>2026-04-29T00:00:00.000Z</x:v>
      </x:c>
      <x:c r="D367" s="10" t="d">
        <x:v>2026-05-14T00:00:00.000Z</x:v>
      </x:c>
      <x:c r="E367" s="11" t="n">
        <x:v>4400.45</x:v>
      </x:c>
      <x:c r="F367" s="2" t="str">
        <x:v>No</x:v>
      </x:c>
      <x:c r="G367" s="2" t="str"/>
    </x:row>
    <x:row r="368" ht="23" customHeight="1">
      <x:c r="A368" s="2" t="str">
        <x:v>INV00364</x:v>
      </x:c>
      <x:c r="B368" s="2" t="str">
        <x:v>C002</x:v>
      </x:c>
      <x:c r="C368" s="10" t="d">
        <x:v>2026-03-28T00:00:00.000Z</x:v>
      </x:c>
      <x:c r="D368" s="10" t="d">
        <x:v>2026-04-27T00:00:00.000Z</x:v>
      </x:c>
      <x:c r="E368" s="11" t="n">
        <x:v>17421.62</x:v>
      </x:c>
      <x:c r="F368" s="2" t="str">
        <x:v>No</x:v>
      </x:c>
      <x:c r="G368" s="2" t="str"/>
    </x:row>
    <x:row r="369" ht="23" customHeight="1">
      <x:c r="A369" s="2" t="str">
        <x:v>INV00365</x:v>
      </x:c>
      <x:c r="B369" s="2" t="str">
        <x:v>C014</x:v>
      </x:c>
      <x:c r="C369" s="10" t="d">
        <x:v>2026-05-08T00:00:00.000Z</x:v>
      </x:c>
      <x:c r="D369" s="10" t="d">
        <x:v>2026-06-07T00:00:00.000Z</x:v>
      </x:c>
      <x:c r="E369" s="11" t="n">
        <x:v>14660.52</x:v>
      </x:c>
      <x:c r="F369" s="2" t="str">
        <x:v>No</x:v>
      </x:c>
      <x:c r="G369" s="2" t="str"/>
    </x:row>
    <x:row r="370" ht="23" customHeight="1">
      <x:c r="A370" s="2" t="str">
        <x:v>INV00366</x:v>
      </x:c>
      <x:c r="B370" s="2" t="str">
        <x:v>C015</x:v>
      </x:c>
      <x:c r="C370" s="10" t="d">
        <x:v>2026-01-30T00:00:00.000Z</x:v>
      </x:c>
      <x:c r="D370" s="10" t="d">
        <x:v>2026-03-01T00:00:00.000Z</x:v>
      </x:c>
      <x:c r="E370" s="11" t="n">
        <x:v>10374.7</x:v>
      </x:c>
      <x:c r="F370" s="2" t="str">
        <x:v>No</x:v>
      </x:c>
      <x:c r="G370" s="2" t="str"/>
    </x:row>
    <x:row r="371" ht="23" customHeight="1">
      <x:c r="A371" s="2" t="str">
        <x:v>INV00367</x:v>
      </x:c>
      <x:c r="B371" s="2" t="str">
        <x:v>C022</x:v>
      </x:c>
      <x:c r="C371" s="10" t="d">
        <x:v>2026-06-30T00:00:00.000Z</x:v>
      </x:c>
      <x:c r="D371" s="10" t="d">
        <x:v>2026-07-15T00:00:00.000Z</x:v>
      </x:c>
      <x:c r="E371" s="11" t="n">
        <x:v>18073.1</x:v>
      </x:c>
      <x:c r="F371" s="2" t="str">
        <x:v>No</x:v>
      </x:c>
      <x:c r="G371" s="2" t="str"/>
    </x:row>
    <x:row r="372" ht="23" customHeight="1">
      <x:c r="A372" s="2" t="str">
        <x:v>INV00368</x:v>
      </x:c>
      <x:c r="B372" s="2" t="str">
        <x:v>C011</x:v>
      </x:c>
      <x:c r="C372" s="10" t="d">
        <x:v>2026-03-22T00:00:00.000Z</x:v>
      </x:c>
      <x:c r="D372" s="10" t="d">
        <x:v>2026-04-21T00:00:00.000Z</x:v>
      </x:c>
      <x:c r="E372" s="11" t="n">
        <x:v>10933.36</x:v>
      </x:c>
      <x:c r="F372" s="2" t="str">
        <x:v>No</x:v>
      </x:c>
      <x:c r="G372" s="2" t="str"/>
    </x:row>
    <x:row r="373" ht="23" customHeight="1">
      <x:c r="A373" s="2" t="str">
        <x:v>INV00369</x:v>
      </x:c>
      <x:c r="B373" s="2" t="str">
        <x:v>C026</x:v>
      </x:c>
      <x:c r="C373" s="10" t="d">
        <x:v>2026-05-03T00:00:00.000Z</x:v>
      </x:c>
      <x:c r="D373" s="10" t="d">
        <x:v>2026-06-17T00:00:00.000Z</x:v>
      </x:c>
      <x:c r="E373" s="11" t="n">
        <x:v>7777.71</x:v>
      </x:c>
      <x:c r="F373" s="2" t="str">
        <x:v>No</x:v>
      </x:c>
      <x:c r="G373" s="2" t="str"/>
    </x:row>
    <x:row r="374" ht="23" customHeight="1">
      <x:c r="A374" s="2" t="str">
        <x:v>INV00370</x:v>
      </x:c>
      <x:c r="B374" s="2" t="str">
        <x:v>C038</x:v>
      </x:c>
      <x:c r="C374" s="10" t="d">
        <x:v>2026-04-12T00:00:00.000Z</x:v>
      </x:c>
      <x:c r="D374" s="10" t="d">
        <x:v>2026-05-12T00:00:00.000Z</x:v>
      </x:c>
      <x:c r="E374" s="11" t="n">
        <x:v>1479.59</x:v>
      </x:c>
      <x:c r="F374" s="2" t="str">
        <x:v>No</x:v>
      </x:c>
      <x:c r="G374" s="2" t="str"/>
    </x:row>
    <x:row r="375" ht="23" customHeight="1">
      <x:c r="A375" s="2" t="str">
        <x:v>INV00371</x:v>
      </x:c>
      <x:c r="B375" s="2" t="str">
        <x:v>C009</x:v>
      </x:c>
      <x:c r="C375" s="10" t="d">
        <x:v>2026-08-18T00:00:00.000Z</x:v>
      </x:c>
      <x:c r="D375" s="10" t="d">
        <x:v>2026-10-02T00:00:00.000Z</x:v>
      </x:c>
      <x:c r="E375" s="11" t="n">
        <x:v>929.23</x:v>
      </x:c>
      <x:c r="F375" s="2" t="str">
        <x:v>No</x:v>
      </x:c>
      <x:c r="G375" s="2" t="str"/>
    </x:row>
    <x:row r="376" ht="23" customHeight="1">
      <x:c r="A376" s="2" t="str">
        <x:v>INV00372</x:v>
      </x:c>
      <x:c r="B376" s="2" t="str">
        <x:v>C021</x:v>
      </x:c>
      <x:c r="C376" s="10" t="d">
        <x:v>2026-06-08T00:00:00.000Z</x:v>
      </x:c>
      <x:c r="D376" s="10" t="d">
        <x:v>2026-06-23T00:00:00.000Z</x:v>
      </x:c>
      <x:c r="E376" s="11" t="n">
        <x:v>11649.4</x:v>
      </x:c>
      <x:c r="F376" s="2" t="str">
        <x:v>No</x:v>
      </x:c>
      <x:c r="G376" s="2" t="str"/>
    </x:row>
    <x:row r="377" ht="23" customHeight="1">
      <x:c r="A377" s="2" t="str">
        <x:v>INV00373</x:v>
      </x:c>
      <x:c r="B377" s="2" t="str">
        <x:v>C010</x:v>
      </x:c>
      <x:c r="C377" s="10" t="d">
        <x:v>2026-02-05T00:00:00.000Z</x:v>
      </x:c>
      <x:c r="D377" s="10" t="d">
        <x:v>2026-02-20T00:00:00.000Z</x:v>
      </x:c>
      <x:c r="E377" s="11" t="n">
        <x:v>17443.48</x:v>
      </x:c>
      <x:c r="F377" s="2" t="str">
        <x:v>No</x:v>
      </x:c>
      <x:c r="G377" s="2" t="str"/>
    </x:row>
    <x:row r="378" ht="23" customHeight="1">
      <x:c r="A378" s="2" t="str">
        <x:v>INV00374</x:v>
      </x:c>
      <x:c r="B378" s="2" t="str">
        <x:v>C004</x:v>
      </x:c>
      <x:c r="C378" s="10" t="d">
        <x:v>2026-03-04T00:00:00.000Z</x:v>
      </x:c>
      <x:c r="D378" s="10" t="d">
        <x:v>2026-04-03T00:00:00.000Z</x:v>
      </x:c>
      <x:c r="E378" s="11" t="n">
        <x:v>12297.93</x:v>
      </x:c>
      <x:c r="F378" s="2" t="str">
        <x:v>No</x:v>
      </x:c>
      <x:c r="G378" s="2" t="str"/>
    </x:row>
    <x:row r="379" ht="23" customHeight="1">
      <x:c r="A379" s="2" t="str">
        <x:v>INV00375</x:v>
      </x:c>
      <x:c r="B379" s="2" t="str">
        <x:v>C040</x:v>
      </x:c>
      <x:c r="C379" s="10" t="d">
        <x:v>2026-06-18T00:00:00.000Z</x:v>
      </x:c>
      <x:c r="D379" s="10" t="d">
        <x:v>2026-07-18T00:00:00.000Z</x:v>
      </x:c>
      <x:c r="E379" s="11" t="n">
        <x:v>9445.09</x:v>
      </x:c>
      <x:c r="F379" s="2" t="str">
        <x:v>No</x:v>
      </x:c>
      <x:c r="G379" s="2" t="str"/>
    </x:row>
    <x:row r="380" ht="23" customHeight="1">
      <x:c r="A380" s="2" t="str">
        <x:v>INV00376</x:v>
      </x:c>
      <x:c r="B380" s="2" t="str">
        <x:v>C003</x:v>
      </x:c>
      <x:c r="C380" s="10" t="d">
        <x:v>2026-08-14T00:00:00.000Z</x:v>
      </x:c>
      <x:c r="D380" s="10" t="d">
        <x:v>2026-08-29T00:00:00.000Z</x:v>
      </x:c>
      <x:c r="E380" s="11" t="n">
        <x:v>4363.99</x:v>
      </x:c>
      <x:c r="F380" s="2" t="str">
        <x:v>No</x:v>
      </x:c>
      <x:c r="G380" s="2" t="str"/>
    </x:row>
    <x:row r="381" ht="23" customHeight="1">
      <x:c r="A381" s="2" t="str">
        <x:v>INV00377</x:v>
      </x:c>
      <x:c r="B381" s="2" t="str">
        <x:v>C028</x:v>
      </x:c>
      <x:c r="C381" s="10" t="d">
        <x:v>2026-05-27T00:00:00.000Z</x:v>
      </x:c>
      <x:c r="D381" s="10" t="d">
        <x:v>2026-07-26T00:00:00.000Z</x:v>
      </x:c>
      <x:c r="E381" s="11" t="n">
        <x:v>5401.53</x:v>
      </x:c>
      <x:c r="F381" s="2" t="str">
        <x:v>No</x:v>
      </x:c>
      <x:c r="G381" s="2" t="str"/>
    </x:row>
    <x:row r="382" ht="23" customHeight="1">
      <x:c r="A382" s="2" t="str">
        <x:v>INV00378</x:v>
      </x:c>
      <x:c r="B382" s="2" t="str">
        <x:v>C019</x:v>
      </x:c>
      <x:c r="C382" s="10" t="d">
        <x:v>2026-05-23T00:00:00.000Z</x:v>
      </x:c>
      <x:c r="D382" s="10" t="d">
        <x:v>2026-07-22T00:00:00.000Z</x:v>
      </x:c>
      <x:c r="E382" s="11" t="n">
        <x:v>6356.42</x:v>
      </x:c>
      <x:c r="F382" s="2" t="str">
        <x:v>No</x:v>
      </x:c>
      <x:c r="G382" s="2" t="str"/>
    </x:row>
    <x:row r="383" ht="23" customHeight="1">
      <x:c r="A383" s="2" t="str">
        <x:v>INV00379</x:v>
      </x:c>
      <x:c r="B383" s="2" t="str">
        <x:v>C001</x:v>
      </x:c>
      <x:c r="C383" s="10" t="d">
        <x:v>2026-07-07T00:00:00.000Z</x:v>
      </x:c>
      <x:c r="D383" s="10" t="d">
        <x:v>2026-08-21T00:00:00.000Z</x:v>
      </x:c>
      <x:c r="E383" s="11" t="n">
        <x:v>8129.48</x:v>
      </x:c>
      <x:c r="F383" s="2" t="str">
        <x:v>No</x:v>
      </x:c>
      <x:c r="G383" s="2" t="str"/>
    </x:row>
    <x:row r="384" ht="23" customHeight="1">
      <x:c r="A384" s="2" t="str">
        <x:v>INV00380</x:v>
      </x:c>
      <x:c r="B384" s="2" t="str">
        <x:v>C038</x:v>
      </x:c>
      <x:c r="C384" s="10" t="d">
        <x:v>2026-08-15T00:00:00.000Z</x:v>
      </x:c>
      <x:c r="D384" s="10" t="d">
        <x:v>2026-09-14T00:00:00.000Z</x:v>
      </x:c>
      <x:c r="E384" s="11" t="n">
        <x:v>10986.75</x:v>
      </x:c>
      <x:c r="F384" s="2" t="str">
        <x:v>No</x:v>
      </x:c>
      <x:c r="G384" s="2" t="str"/>
    </x:row>
    <x:row r="385" ht="23" customHeight="1">
      <x:c r="A385" s="2" t="str">
        <x:v>INV00381</x:v>
      </x:c>
      <x:c r="B385" s="2" t="str">
        <x:v>C029</x:v>
      </x:c>
      <x:c r="C385" s="10" t="d">
        <x:v>2026-06-19T00:00:00.000Z</x:v>
      </x:c>
      <x:c r="D385" s="10" t="d">
        <x:v>2026-07-04T00:00:00.000Z</x:v>
      </x:c>
      <x:c r="E385" s="11" t="n">
        <x:v>12175.66</x:v>
      </x:c>
      <x:c r="F385" s="2" t="str">
        <x:v>No</x:v>
      </x:c>
      <x:c r="G385" s="2" t="str"/>
    </x:row>
    <x:row r="386" ht="23" customHeight="1">
      <x:c r="A386" s="2" t="str">
        <x:v>INV00382</x:v>
      </x:c>
      <x:c r="B386" s="2" t="str">
        <x:v>C002</x:v>
      </x:c>
      <x:c r="C386" s="10" t="d">
        <x:v>2026-07-20T00:00:00.000Z</x:v>
      </x:c>
      <x:c r="D386" s="10" t="d">
        <x:v>2026-09-03T00:00:00.000Z</x:v>
      </x:c>
      <x:c r="E386" s="11" t="n">
        <x:v>14192.21</x:v>
      </x:c>
      <x:c r="F386" s="2" t="str">
        <x:v>No</x:v>
      </x:c>
      <x:c r="G386" s="2" t="str"/>
    </x:row>
    <x:row r="387" ht="23" customHeight="1">
      <x:c r="A387" s="2" t="str">
        <x:v>INV00383</x:v>
      </x:c>
      <x:c r="B387" s="2" t="str">
        <x:v>C011</x:v>
      </x:c>
      <x:c r="C387" s="10" t="d">
        <x:v>2026-05-29T00:00:00.000Z</x:v>
      </x:c>
      <x:c r="D387" s="10" t="d">
        <x:v>2026-06-13T00:00:00.000Z</x:v>
      </x:c>
      <x:c r="E387" s="11" t="n">
        <x:v>12037.72</x:v>
      </x:c>
      <x:c r="F387" s="2" t="str">
        <x:v>No</x:v>
      </x:c>
      <x:c r="G387" s="2" t="str"/>
    </x:row>
    <x:row r="388" ht="23" customHeight="1">
      <x:c r="A388" s="2" t="str">
        <x:v>INV00384</x:v>
      </x:c>
      <x:c r="B388" s="2" t="str">
        <x:v>C024</x:v>
      </x:c>
      <x:c r="C388" s="10" t="d">
        <x:v>2026-07-18T00:00:00.000Z</x:v>
      </x:c>
      <x:c r="D388" s="10" t="d">
        <x:v>2026-08-17T00:00:00.000Z</x:v>
      </x:c>
      <x:c r="E388" s="11" t="n">
        <x:v>18828.37</x:v>
      </x:c>
      <x:c r="F388" s="2" t="str">
        <x:v>No</x:v>
      </x:c>
      <x:c r="G388" s="2" t="str"/>
    </x:row>
    <x:row r="389" ht="23" customHeight="1">
      <x:c r="A389" s="2" t="str">
        <x:v>INV00385</x:v>
      </x:c>
      <x:c r="B389" s="2" t="str">
        <x:v>C038</x:v>
      </x:c>
      <x:c r="C389" s="10" t="d">
        <x:v>2026-05-20T00:00:00.000Z</x:v>
      </x:c>
      <x:c r="D389" s="10" t="d">
        <x:v>2026-06-19T00:00:00.000Z</x:v>
      </x:c>
      <x:c r="E389" s="11" t="n">
        <x:v>10639.66</x:v>
      </x:c>
      <x:c r="F389" s="2" t="str">
        <x:v>No</x:v>
      </x:c>
      <x:c r="G389" s="2" t="str"/>
    </x:row>
    <x:row r="390" ht="23" customHeight="1">
      <x:c r="A390" s="2" t="str">
        <x:v>INV00386</x:v>
      </x:c>
      <x:c r="B390" s="2" t="str">
        <x:v>C024</x:v>
      </x:c>
      <x:c r="C390" s="10" t="d">
        <x:v>2026-04-20T00:00:00.000Z</x:v>
      </x:c>
      <x:c r="D390" s="10" t="d">
        <x:v>2026-06-19T00:00:00.000Z</x:v>
      </x:c>
      <x:c r="E390" s="11" t="n">
        <x:v>19584.17</x:v>
      </x:c>
      <x:c r="F390" s="2" t="str">
        <x:v>No</x:v>
      </x:c>
      <x:c r="G390" s="2" t="str"/>
    </x:row>
    <x:row r="391" ht="23" customHeight="1">
      <x:c r="A391" s="2" t="str">
        <x:v>INV00387</x:v>
      </x:c>
      <x:c r="B391" s="2" t="str">
        <x:v>C018</x:v>
      </x:c>
      <x:c r="C391" s="10" t="d">
        <x:v>2026-02-25T00:00:00.000Z</x:v>
      </x:c>
      <x:c r="D391" s="10" t="d">
        <x:v>2026-04-11T00:00:00.000Z</x:v>
      </x:c>
      <x:c r="E391" s="11" t="n">
        <x:v>8137.55</x:v>
      </x:c>
      <x:c r="F391" s="2" t="str">
        <x:v>No</x:v>
      </x:c>
      <x:c r="G391" s="2" t="str"/>
    </x:row>
    <x:row r="392" ht="23" customHeight="1">
      <x:c r="A392" s="2" t="str">
        <x:v>INV00388</x:v>
      </x:c>
      <x:c r="B392" s="2" t="str">
        <x:v>C010</x:v>
      </x:c>
      <x:c r="C392" s="10" t="d">
        <x:v>2026-07-13T00:00:00.000Z</x:v>
      </x:c>
      <x:c r="D392" s="10" t="d">
        <x:v>2026-07-28T00:00:00.000Z</x:v>
      </x:c>
      <x:c r="E392" s="11" t="n">
        <x:v>19168.86</x:v>
      </x:c>
      <x:c r="F392" s="2" t="str">
        <x:v>No</x:v>
      </x:c>
      <x:c r="G392" s="2" t="str"/>
    </x:row>
    <x:row r="393" ht="23" customHeight="1">
      <x:c r="A393" s="2" t="str">
        <x:v>INV00389</x:v>
      </x:c>
      <x:c r="B393" s="2" t="str">
        <x:v>C034</x:v>
      </x:c>
      <x:c r="C393" s="10" t="d">
        <x:v>2026-03-05T00:00:00.000Z</x:v>
      </x:c>
      <x:c r="D393" s="10" t="d">
        <x:v>2026-04-04T00:00:00.000Z</x:v>
      </x:c>
      <x:c r="E393" s="11" t="n">
        <x:v>14044.93</x:v>
      </x:c>
      <x:c r="F393" s="2" t="str">
        <x:v>No</x:v>
      </x:c>
      <x:c r="G393" s="2" t="str"/>
    </x:row>
    <x:row r="394" ht="23" customHeight="1">
      <x:c r="A394" s="2" t="str">
        <x:v>INV00390</x:v>
      </x:c>
      <x:c r="B394" s="2" t="str">
        <x:v>C007</x:v>
      </x:c>
      <x:c r="C394" s="10" t="d">
        <x:v>2026-04-24T00:00:00.000Z</x:v>
      </x:c>
      <x:c r="D394" s="10" t="d">
        <x:v>2026-06-08T00:00:00.000Z</x:v>
      </x:c>
      <x:c r="E394" s="11" t="n">
        <x:v>5913.4</x:v>
      </x:c>
      <x:c r="F394" s="2" t="str">
        <x:v>No</x:v>
      </x:c>
      <x:c r="G394" s="2" t="str"/>
    </x:row>
    <x:row r="395" ht="23" customHeight="1">
      <x:c r="A395" s="2" t="str">
        <x:v>INV00391</x:v>
      </x:c>
      <x:c r="B395" s="2" t="str">
        <x:v>C036</x:v>
      </x:c>
      <x:c r="C395" s="10" t="d">
        <x:v>2026-05-21T00:00:00.000Z</x:v>
      </x:c>
      <x:c r="D395" s="10" t="d">
        <x:v>2026-06-05T00:00:00.000Z</x:v>
      </x:c>
      <x:c r="E395" s="11" t="n">
        <x:v>4278.58</x:v>
      </x:c>
      <x:c r="F395" s="2" t="str">
        <x:v>No</x:v>
      </x:c>
      <x:c r="G395" s="2" t="str"/>
    </x:row>
    <x:row r="396" ht="23" customHeight="1">
      <x:c r="A396" s="2" t="str">
        <x:v>INV00392</x:v>
      </x:c>
      <x:c r="B396" s="2" t="str">
        <x:v>C006</x:v>
      </x:c>
      <x:c r="C396" s="10" t="d">
        <x:v>2026-05-31T00:00:00.000Z</x:v>
      </x:c>
      <x:c r="D396" s="10" t="d">
        <x:v>2026-06-30T00:00:00.000Z</x:v>
      </x:c>
      <x:c r="E396" s="11" t="n">
        <x:v>17676.65</x:v>
      </x:c>
      <x:c r="F396" s="2" t="str">
        <x:v>No</x:v>
      </x:c>
      <x:c r="G396" s="2" t="str"/>
    </x:row>
    <x:row r="397" ht="23" customHeight="1">
      <x:c r="A397" s="2" t="str">
        <x:v>INV00393</x:v>
      </x:c>
      <x:c r="B397" s="2" t="str">
        <x:v>C030</x:v>
      </x:c>
      <x:c r="C397" s="10" t="d">
        <x:v>2026-01-06T00:00:00.000Z</x:v>
      </x:c>
      <x:c r="D397" s="10" t="d">
        <x:v>2026-02-05T00:00:00.000Z</x:v>
      </x:c>
      <x:c r="E397" s="11" t="n">
        <x:v>2166.74</x:v>
      </x:c>
      <x:c r="F397" s="2" t="str">
        <x:v>No</x:v>
      </x:c>
      <x:c r="G397" s="2" t="str"/>
    </x:row>
    <x:row r="398" ht="23" customHeight="1">
      <x:c r="A398" s="2" t="str">
        <x:v>INV00394</x:v>
      </x:c>
      <x:c r="B398" s="2" t="str">
        <x:v>C028</x:v>
      </x:c>
      <x:c r="C398" s="10" t="d">
        <x:v>2026-02-12T00:00:00.000Z</x:v>
      </x:c>
      <x:c r="D398" s="10" t="d">
        <x:v>2026-03-14T00:00:00.000Z</x:v>
      </x:c>
      <x:c r="E398" s="11" t="n">
        <x:v>17154.29</x:v>
      </x:c>
      <x:c r="F398" s="2" t="str">
        <x:v>No</x:v>
      </x:c>
      <x:c r="G398" s="2" t="str"/>
    </x:row>
    <x:row r="399" ht="23" customHeight="1">
      <x:c r="A399" s="2" t="str">
        <x:v>INV00395</x:v>
      </x:c>
      <x:c r="B399" s="2" t="str">
        <x:v>C032</x:v>
      </x:c>
      <x:c r="C399" s="10" t="d">
        <x:v>2026-01-22T00:00:00.000Z</x:v>
      </x:c>
      <x:c r="D399" s="10" t="d">
        <x:v>2026-03-23T00:00:00.000Z</x:v>
      </x:c>
      <x:c r="E399" s="11" t="n">
        <x:v>9360.46</x:v>
      </x:c>
      <x:c r="F399" s="2" t="str">
        <x:v>Yes</x:v>
      </x:c>
      <x:c r="G399" s="2" t="str">
        <x:v>Invoice detail query</x:v>
      </x:c>
    </x:row>
    <x:row r="400" ht="23" customHeight="1">
      <x:c r="A400" s="2" t="str">
        <x:v>INV00396</x:v>
      </x:c>
      <x:c r="B400" s="2" t="str">
        <x:v>C001</x:v>
      </x:c>
      <x:c r="C400" s="10" t="d">
        <x:v>2026-03-31T00:00:00.000Z</x:v>
      </x:c>
      <x:c r="D400" s="10" t="d">
        <x:v>2026-04-30T00:00:00.000Z</x:v>
      </x:c>
      <x:c r="E400" s="11" t="n">
        <x:v>10309.32</x:v>
      </x:c>
      <x:c r="F400" s="2" t="str">
        <x:v>No</x:v>
      </x:c>
      <x:c r="G400" s="2" t="str"/>
    </x:row>
    <x:row r="401" ht="23" customHeight="1">
      <x:c r="A401" s="2" t="str">
        <x:v>INV00397</x:v>
      </x:c>
      <x:c r="B401" s="2" t="str">
        <x:v>C024</x:v>
      </x:c>
      <x:c r="C401" s="10" t="d">
        <x:v>2026-09-20T00:00:00.000Z</x:v>
      </x:c>
      <x:c r="D401" s="10" t="d">
        <x:v>2026-10-05T00:00:00.000Z</x:v>
      </x:c>
      <x:c r="E401" s="11" t="n">
        <x:v>14960.28</x:v>
      </x:c>
      <x:c r="F401" s="2" t="str">
        <x:v>No</x:v>
      </x:c>
      <x:c r="G401" s="2" t="str"/>
    </x:row>
    <x:row r="402" ht="23" customHeight="1">
      <x:c r="A402" s="2" t="str">
        <x:v>INV00398</x:v>
      </x:c>
      <x:c r="B402" s="2" t="str">
        <x:v>C027</x:v>
      </x:c>
      <x:c r="C402" s="10" t="d">
        <x:v>2026-08-05T00:00:00.000Z</x:v>
      </x:c>
      <x:c r="D402" s="10" t="d">
        <x:v>2026-09-04T00:00:00.000Z</x:v>
      </x:c>
      <x:c r="E402" s="11" t="n">
        <x:v>1658.61</x:v>
      </x:c>
      <x:c r="F402" s="2" t="str">
        <x:v>No</x:v>
      </x:c>
      <x:c r="G402" s="2" t="str"/>
    </x:row>
    <x:row r="403" ht="23" customHeight="1">
      <x:c r="A403" s="2" t="str">
        <x:v>INV00399</x:v>
      </x:c>
      <x:c r="B403" s="2" t="str">
        <x:v>C006</x:v>
      </x:c>
      <x:c r="C403" s="10" t="d">
        <x:v>2026-05-08T00:00:00.000Z</x:v>
      </x:c>
      <x:c r="D403" s="10" t="d">
        <x:v>2026-07-07T00:00:00.000Z</x:v>
      </x:c>
      <x:c r="E403" s="11" t="n">
        <x:v>8607.76</x:v>
      </x:c>
      <x:c r="F403" s="2" t="str">
        <x:v>Yes</x:v>
      </x:c>
      <x:c r="G403" s="2" t="str">
        <x:v>Pricing query</x:v>
      </x:c>
    </x:row>
    <x:row r="404" ht="23" customHeight="1">
      <x:c r="A404" s="2" t="str">
        <x:v>INV00400</x:v>
      </x:c>
      <x:c r="B404" s="2" t="str">
        <x:v>C018</x:v>
      </x:c>
      <x:c r="C404" s="10" t="d">
        <x:v>2026-01-25T00:00:00.000Z</x:v>
      </x:c>
      <x:c r="D404" s="10" t="d">
        <x:v>2026-02-24T00:00:00.000Z</x:v>
      </x:c>
      <x:c r="E404" s="11" t="n">
        <x:v>14945.36</x:v>
      </x:c>
      <x:c r="F404" s="2" t="str">
        <x:v>No</x:v>
      </x:c>
      <x:c r="G404" s="2" t="str"/>
    </x:row>
    <x:row r="405" ht="23" customHeight="1">
      <x:c r="A405" s="2" t="str">
        <x:v>INV00401</x:v>
      </x:c>
      <x:c r="B405" s="2" t="str">
        <x:v>C033</x:v>
      </x:c>
      <x:c r="C405" s="10" t="d">
        <x:v>2026-07-26T00:00:00.000Z</x:v>
      </x:c>
      <x:c r="D405" s="10" t="d">
        <x:v>2026-08-25T00:00:00.000Z</x:v>
      </x:c>
      <x:c r="E405" s="11" t="n">
        <x:v>10711.61</x:v>
      </x:c>
      <x:c r="F405" s="2" t="str">
        <x:v>No</x:v>
      </x:c>
      <x:c r="G405" s="2" t="str"/>
    </x:row>
    <x:row r="406" ht="23" customHeight="1">
      <x:c r="A406" s="2" t="str">
        <x:v>INV00402</x:v>
      </x:c>
      <x:c r="B406" s="2" t="str">
        <x:v>C038</x:v>
      </x:c>
      <x:c r="C406" s="10" t="d">
        <x:v>2026-01-14T00:00:00.000Z</x:v>
      </x:c>
      <x:c r="D406" s="10" t="d">
        <x:v>2026-01-29T00:00:00.000Z</x:v>
      </x:c>
      <x:c r="E406" s="11" t="n">
        <x:v>12602</x:v>
      </x:c>
      <x:c r="F406" s="2" t="str">
        <x:v>No</x:v>
      </x:c>
      <x:c r="G406" s="2" t="str"/>
    </x:row>
    <x:row r="407" ht="23" customHeight="1">
      <x:c r="A407" s="2" t="str">
        <x:v>INV00403</x:v>
      </x:c>
      <x:c r="B407" s="2" t="str">
        <x:v>C031</x:v>
      </x:c>
      <x:c r="C407" s="10" t="d">
        <x:v>2026-08-28T00:00:00.000Z</x:v>
      </x:c>
      <x:c r="D407" s="10" t="d">
        <x:v>2026-09-12T00:00:00.000Z</x:v>
      </x:c>
      <x:c r="E407" s="11" t="n">
        <x:v>17592.94</x:v>
      </x:c>
      <x:c r="F407" s="2" t="str">
        <x:v>No</x:v>
      </x:c>
      <x:c r="G407" s="2" t="str"/>
    </x:row>
    <x:row r="408" ht="23" customHeight="1">
      <x:c r="A408" s="2" t="str">
        <x:v>INV00404</x:v>
      </x:c>
      <x:c r="B408" s="2" t="str">
        <x:v>C025</x:v>
      </x:c>
      <x:c r="C408" s="10" t="d">
        <x:v>2026-02-17T00:00:00.000Z</x:v>
      </x:c>
      <x:c r="D408" s="10" t="d">
        <x:v>2026-04-18T00:00:00.000Z</x:v>
      </x:c>
      <x:c r="E408" s="11" t="n">
        <x:v>12698.29</x:v>
      </x:c>
      <x:c r="F408" s="2" t="str">
        <x:v>No</x:v>
      </x:c>
      <x:c r="G408" s="2" t="str"/>
    </x:row>
    <x:row r="409" ht="23" customHeight="1">
      <x:c r="A409" s="2" t="str">
        <x:v>INV00405</x:v>
      </x:c>
      <x:c r="B409" s="2" t="str">
        <x:v>C031</x:v>
      </x:c>
      <x:c r="C409" s="10" t="d">
        <x:v>2026-07-22T00:00:00.000Z</x:v>
      </x:c>
      <x:c r="D409" s="10" t="d">
        <x:v>2026-08-21T00:00:00.000Z</x:v>
      </x:c>
      <x:c r="E409" s="11" t="n">
        <x:v>5072.39</x:v>
      </x:c>
      <x:c r="F409" s="2" t="str">
        <x:v>No</x:v>
      </x:c>
      <x:c r="G409" s="2" t="str"/>
    </x:row>
    <x:row r="410" ht="23" customHeight="1">
      <x:c r="A410" s="2" t="str">
        <x:v>INV00406</x:v>
      </x:c>
      <x:c r="B410" s="2" t="str">
        <x:v>C034</x:v>
      </x:c>
      <x:c r="C410" s="10" t="d">
        <x:v>2026-04-10T00:00:00.000Z</x:v>
      </x:c>
      <x:c r="D410" s="10" t="d">
        <x:v>2026-05-25T00:00:00.000Z</x:v>
      </x:c>
      <x:c r="E410" s="11" t="n">
        <x:v>18628.65</x:v>
      </x:c>
      <x:c r="F410" s="2" t="str">
        <x:v>No</x:v>
      </x:c>
      <x:c r="G410" s="2" t="str"/>
    </x:row>
    <x:row r="411" ht="23" customHeight="1">
      <x:c r="A411" s="2" t="str">
        <x:v>INV00407</x:v>
      </x:c>
      <x:c r="B411" s="2" t="str">
        <x:v>C009</x:v>
      </x:c>
      <x:c r="C411" s="10" t="d">
        <x:v>2026-03-26T00:00:00.000Z</x:v>
      </x:c>
      <x:c r="D411" s="10" t="d">
        <x:v>2026-05-25T00:00:00.000Z</x:v>
      </x:c>
      <x:c r="E411" s="11" t="n">
        <x:v>6164.67</x:v>
      </x:c>
      <x:c r="F411" s="2" t="str">
        <x:v>No</x:v>
      </x:c>
      <x:c r="G411" s="2" t="str"/>
    </x:row>
    <x:row r="412" ht="23" customHeight="1">
      <x:c r="A412" s="2" t="str">
        <x:v>INV00408</x:v>
      </x:c>
      <x:c r="B412" s="2" t="str">
        <x:v>C004</x:v>
      </x:c>
      <x:c r="C412" s="10" t="d">
        <x:v>2026-04-22T00:00:00.000Z</x:v>
      </x:c>
      <x:c r="D412" s="10" t="d">
        <x:v>2026-05-22T00:00:00.000Z</x:v>
      </x:c>
      <x:c r="E412" s="11" t="n">
        <x:v>11975.48</x:v>
      </x:c>
      <x:c r="F412" s="2" t="str">
        <x:v>No</x:v>
      </x:c>
      <x:c r="G412" s="2" t="str"/>
    </x:row>
    <x:row r="413" ht="23" customHeight="1">
      <x:c r="A413" s="2" t="str">
        <x:v>INV00409</x:v>
      </x:c>
      <x:c r="B413" s="2" t="str">
        <x:v>C020</x:v>
      </x:c>
      <x:c r="C413" s="10" t="d">
        <x:v>2026-04-15T00:00:00.000Z</x:v>
      </x:c>
      <x:c r="D413" s="10" t="d">
        <x:v>2026-05-30T00:00:00.000Z</x:v>
      </x:c>
      <x:c r="E413" s="11" t="n">
        <x:v>12476.82</x:v>
      </x:c>
      <x:c r="F413" s="2" t="str">
        <x:v>No</x:v>
      </x:c>
      <x:c r="G413" s="2" t="str"/>
    </x:row>
    <x:row r="414" ht="23" customHeight="1">
      <x:c r="A414" s="2" t="str">
        <x:v>INV00410</x:v>
      </x:c>
      <x:c r="B414" s="2" t="str">
        <x:v>C010</x:v>
      </x:c>
      <x:c r="C414" s="10" t="d">
        <x:v>2026-09-14T00:00:00.000Z</x:v>
      </x:c>
      <x:c r="D414" s="10" t="d">
        <x:v>2026-11-13T00:00:00.000Z</x:v>
      </x:c>
      <x:c r="E414" s="11" t="n">
        <x:v>13601.63</x:v>
      </x:c>
      <x:c r="F414" s="2" t="str">
        <x:v>No</x:v>
      </x:c>
      <x:c r="G414" s="2" t="str"/>
    </x:row>
    <x:row r="415" ht="23" customHeight="1">
      <x:c r="A415" s="2" t="str">
        <x:v>INV00411</x:v>
      </x:c>
      <x:c r="B415" s="2" t="str">
        <x:v>C004</x:v>
      </x:c>
      <x:c r="C415" s="10" t="d">
        <x:v>2026-05-21T00:00:00.000Z</x:v>
      </x:c>
      <x:c r="D415" s="10" t="d">
        <x:v>2026-07-20T00:00:00.000Z</x:v>
      </x:c>
      <x:c r="E415" s="11" t="n">
        <x:v>18522.81</x:v>
      </x:c>
      <x:c r="F415" s="2" t="str">
        <x:v>No</x:v>
      </x:c>
      <x:c r="G415" s="2" t="str"/>
    </x:row>
    <x:row r="416" ht="23" customHeight="1">
      <x:c r="A416" s="2" t="str">
        <x:v>INV00412</x:v>
      </x:c>
      <x:c r="B416" s="2" t="str">
        <x:v>C001</x:v>
      </x:c>
      <x:c r="C416" s="10" t="d">
        <x:v>2026-08-26T00:00:00.000Z</x:v>
      </x:c>
      <x:c r="D416" s="10" t="d">
        <x:v>2026-10-25T00:00:00.000Z</x:v>
      </x:c>
      <x:c r="E416" s="11" t="n">
        <x:v>7744.3</x:v>
      </x:c>
      <x:c r="F416" s="2" t="str">
        <x:v>No</x:v>
      </x:c>
      <x:c r="G416" s="2" t="str"/>
    </x:row>
    <x:row r="417" ht="23" customHeight="1">
      <x:c r="A417" s="2" t="str">
        <x:v>INV00413</x:v>
      </x:c>
      <x:c r="B417" s="2" t="str">
        <x:v>C037</x:v>
      </x:c>
      <x:c r="C417" s="10" t="d">
        <x:v>2026-09-26T00:00:00.000Z</x:v>
      </x:c>
      <x:c r="D417" s="10" t="d">
        <x:v>2026-10-26T00:00:00.000Z</x:v>
      </x:c>
      <x:c r="E417" s="11" t="n">
        <x:v>4211.38</x:v>
      </x:c>
      <x:c r="F417" s="2" t="str">
        <x:v>No</x:v>
      </x:c>
      <x:c r="G417" s="2" t="str"/>
    </x:row>
    <x:row r="418" ht="23" customHeight="1">
      <x:c r="A418" s="2" t="str">
        <x:v>INV00414</x:v>
      </x:c>
      <x:c r="B418" s="2" t="str">
        <x:v>C039</x:v>
      </x:c>
      <x:c r="C418" s="10" t="d">
        <x:v>2026-02-22T00:00:00.000Z</x:v>
      </x:c>
      <x:c r="D418" s="10" t="d">
        <x:v>2026-04-08T00:00:00.000Z</x:v>
      </x:c>
      <x:c r="E418" s="11" t="n">
        <x:v>14292.95</x:v>
      </x:c>
      <x:c r="F418" s="2" t="str">
        <x:v>No</x:v>
      </x:c>
      <x:c r="G418" s="2" t="str"/>
    </x:row>
    <x:row r="419" ht="23" customHeight="1">
      <x:c r="A419" s="2" t="str">
        <x:v>INV00415</x:v>
      </x:c>
      <x:c r="B419" s="2" t="str">
        <x:v>C008</x:v>
      </x:c>
      <x:c r="C419" s="10" t="d">
        <x:v>2026-07-07T00:00:00.000Z</x:v>
      </x:c>
      <x:c r="D419" s="10" t="d">
        <x:v>2026-08-06T00:00:00.000Z</x:v>
      </x:c>
      <x:c r="E419" s="11" t="n">
        <x:v>5288.59</x:v>
      </x:c>
      <x:c r="F419" s="2" t="str">
        <x:v>Yes</x:v>
      </x:c>
      <x:c r="G419" s="2" t="str">
        <x:v>Service acceptance pending</x:v>
      </x:c>
    </x:row>
    <x:row r="420" ht="23" customHeight="1">
      <x:c r="A420" s="2" t="str">
        <x:v>INV00416</x:v>
      </x:c>
      <x:c r="B420" s="2" t="str">
        <x:v>C001</x:v>
      </x:c>
      <x:c r="C420" s="10" t="d">
        <x:v>2026-05-12T00:00:00.000Z</x:v>
      </x:c>
      <x:c r="D420" s="10" t="d">
        <x:v>2026-07-11T00:00:00.000Z</x:v>
      </x:c>
      <x:c r="E420" s="11" t="n">
        <x:v>15773.78</x:v>
      </x:c>
      <x:c r="F420" s="2" t="str">
        <x:v>No</x:v>
      </x:c>
      <x:c r="G420" s="2" t="str"/>
    </x:row>
    <x:row r="421" ht="23" customHeight="1">
      <x:c r="A421" s="2" t="str">
        <x:v>INV00417</x:v>
      </x:c>
      <x:c r="B421" s="2" t="str">
        <x:v>C022</x:v>
      </x:c>
      <x:c r="C421" s="10" t="d">
        <x:v>2026-01-21T00:00:00.000Z</x:v>
      </x:c>
      <x:c r="D421" s="10" t="d">
        <x:v>2026-03-07T00:00:00.000Z</x:v>
      </x:c>
      <x:c r="E421" s="11" t="n">
        <x:v>10157.25</x:v>
      </x:c>
      <x:c r="F421" s="2" t="str">
        <x:v>Yes</x:v>
      </x:c>
      <x:c r="G421" s="2" t="str">
        <x:v>Invoice detail query</x:v>
      </x:c>
    </x:row>
    <x:row r="422" ht="23" customHeight="1">
      <x:c r="A422" s="2" t="str">
        <x:v>INV00418</x:v>
      </x:c>
      <x:c r="B422" s="2" t="str">
        <x:v>C007</x:v>
      </x:c>
      <x:c r="C422" s="10" t="d">
        <x:v>2026-03-27T00:00:00.000Z</x:v>
      </x:c>
      <x:c r="D422" s="10" t="d">
        <x:v>2026-04-26T00:00:00.000Z</x:v>
      </x:c>
      <x:c r="E422" s="11" t="n">
        <x:v>5119.65</x:v>
      </x:c>
      <x:c r="F422" s="2" t="str">
        <x:v>No</x:v>
      </x:c>
      <x:c r="G422" s="2" t="str"/>
    </x:row>
    <x:row r="423" ht="23" customHeight="1">
      <x:c r="A423" s="2" t="str">
        <x:v>INV00419</x:v>
      </x:c>
      <x:c r="B423" s="2" t="str">
        <x:v>C032</x:v>
      </x:c>
      <x:c r="C423" s="10" t="d">
        <x:v>2026-01-19T00:00:00.000Z</x:v>
      </x:c>
      <x:c r="D423" s="10" t="d">
        <x:v>2026-02-18T00:00:00.000Z</x:v>
      </x:c>
      <x:c r="E423" s="11" t="n">
        <x:v>18104.31</x:v>
      </x:c>
      <x:c r="F423" s="2" t="str">
        <x:v>No</x:v>
      </x:c>
      <x:c r="G423" s="2" t="str"/>
    </x:row>
    <x:row r="424" ht="23" customHeight="1">
      <x:c r="A424" s="2" t="str">
        <x:v>INV00420</x:v>
      </x:c>
      <x:c r="B424" s="2" t="str">
        <x:v>C024</x:v>
      </x:c>
      <x:c r="C424" s="10" t="d">
        <x:v>2026-05-25T00:00:00.000Z</x:v>
      </x:c>
      <x:c r="D424" s="10" t="d">
        <x:v>2026-06-24T00:00:00.000Z</x:v>
      </x:c>
      <x:c r="E424" s="11" t="n">
        <x:v>19993.72</x:v>
      </x:c>
      <x:c r="F424" s="2" t="str">
        <x:v>No</x:v>
      </x:c>
      <x:c r="G424" s="2" t="str"/>
    </x:row>
    <x:row r="425" ht="23" customHeight="1">
      <x:c r="A425" s="2" t="str">
        <x:v>INV00421</x:v>
      </x:c>
      <x:c r="B425" s="2" t="str">
        <x:v>C039</x:v>
      </x:c>
      <x:c r="C425" s="10" t="d">
        <x:v>2026-09-17T00:00:00.000Z</x:v>
      </x:c>
      <x:c r="D425" s="10" t="d">
        <x:v>2026-10-17T00:00:00.000Z</x:v>
      </x:c>
      <x:c r="E425" s="11" t="n">
        <x:v>18945.68</x:v>
      </x:c>
      <x:c r="F425" s="2" t="str">
        <x:v>No</x:v>
      </x:c>
      <x:c r="G425" s="2" t="str"/>
    </x:row>
    <x:row r="426" ht="23" customHeight="1">
      <x:c r="A426" s="2" t="str">
        <x:v>INV00422</x:v>
      </x:c>
      <x:c r="B426" s="2" t="str">
        <x:v>C020</x:v>
      </x:c>
      <x:c r="C426" s="10" t="d">
        <x:v>2026-01-12T00:00:00.000Z</x:v>
      </x:c>
      <x:c r="D426" s="10" t="d">
        <x:v>2026-03-13T00:00:00.000Z</x:v>
      </x:c>
      <x:c r="E426" s="11" t="n">
        <x:v>3873.35</x:v>
      </x:c>
      <x:c r="F426" s="2" t="str">
        <x:v>No</x:v>
      </x:c>
      <x:c r="G426" s="2" t="str"/>
    </x:row>
    <x:row r="427" ht="23" customHeight="1">
      <x:c r="A427" s="2" t="str">
        <x:v>INV00423</x:v>
      </x:c>
      <x:c r="B427" s="2" t="str">
        <x:v>C018</x:v>
      </x:c>
      <x:c r="C427" s="10" t="d">
        <x:v>2026-08-17T00:00:00.000Z</x:v>
      </x:c>
      <x:c r="D427" s="10" t="d">
        <x:v>2026-09-16T00:00:00.000Z</x:v>
      </x:c>
      <x:c r="E427" s="11" t="n">
        <x:v>11786.1</x:v>
      </x:c>
      <x:c r="F427" s="2" t="str">
        <x:v>No</x:v>
      </x:c>
      <x:c r="G427" s="2" t="str"/>
    </x:row>
    <x:row r="428" ht="23" customHeight="1">
      <x:c r="A428" s="2" t="str">
        <x:v>INV00424</x:v>
      </x:c>
      <x:c r="B428" s="2" t="str">
        <x:v>C011</x:v>
      </x:c>
      <x:c r="C428" s="10" t="d">
        <x:v>2026-01-10T00:00:00.000Z</x:v>
      </x:c>
      <x:c r="D428" s="10" t="d">
        <x:v>2026-03-11T00:00:00.000Z</x:v>
      </x:c>
      <x:c r="E428" s="11" t="n">
        <x:v>12965.11</x:v>
      </x:c>
      <x:c r="F428" s="2" t="str">
        <x:v>No</x:v>
      </x:c>
      <x:c r="G428" s="2" t="str"/>
    </x:row>
    <x:row r="429" ht="23" customHeight="1">
      <x:c r="A429" s="2" t="str">
        <x:v>INV00425</x:v>
      </x:c>
      <x:c r="B429" s="2" t="str">
        <x:v>C018</x:v>
      </x:c>
      <x:c r="C429" s="10" t="d">
        <x:v>2026-04-16T00:00:00.000Z</x:v>
      </x:c>
      <x:c r="D429" s="10" t="d">
        <x:v>2026-05-31T00:00:00.000Z</x:v>
      </x:c>
      <x:c r="E429" s="11" t="n">
        <x:v>7114.47</x:v>
      </x:c>
      <x:c r="F429" s="2" t="str">
        <x:v>No</x:v>
      </x:c>
      <x:c r="G429" s="2" t="str"/>
    </x:row>
    <x:row r="430" ht="23" customHeight="1">
      <x:c r="A430" s="2" t="str">
        <x:v>INV00426</x:v>
      </x:c>
      <x:c r="B430" s="2" t="str">
        <x:v>C038</x:v>
      </x:c>
      <x:c r="C430" s="10" t="d">
        <x:v>2026-07-27T00:00:00.000Z</x:v>
      </x:c>
      <x:c r="D430" s="10" t="d">
        <x:v>2026-09-10T00:00:00.000Z</x:v>
      </x:c>
      <x:c r="E430" s="11" t="n">
        <x:v>4979.23</x:v>
      </x:c>
      <x:c r="F430" s="2" t="str">
        <x:v>No</x:v>
      </x:c>
      <x:c r="G430" s="2" t="str"/>
    </x:row>
    <x:row r="431" ht="23" customHeight="1">
      <x:c r="A431" s="2" t="str">
        <x:v>INV00427</x:v>
      </x:c>
      <x:c r="B431" s="2" t="str">
        <x:v>C002</x:v>
      </x:c>
      <x:c r="C431" s="10" t="d">
        <x:v>2026-02-16T00:00:00.000Z</x:v>
      </x:c>
      <x:c r="D431" s="10" t="d">
        <x:v>2026-03-18T00:00:00.000Z</x:v>
      </x:c>
      <x:c r="E431" s="11" t="n">
        <x:v>7740.04</x:v>
      </x:c>
      <x:c r="F431" s="2" t="str">
        <x:v>No</x:v>
      </x:c>
      <x:c r="G431" s="2" t="str"/>
    </x:row>
    <x:row r="432" ht="23" customHeight="1">
      <x:c r="A432" s="2" t="str">
        <x:v>INV00428</x:v>
      </x:c>
      <x:c r="B432" s="2" t="str">
        <x:v>C023</x:v>
      </x:c>
      <x:c r="C432" s="10" t="d">
        <x:v>2026-03-13T00:00:00.000Z</x:v>
      </x:c>
      <x:c r="D432" s="10" t="d">
        <x:v>2026-04-27T00:00:00.000Z</x:v>
      </x:c>
      <x:c r="E432" s="11" t="n">
        <x:v>5497.39</x:v>
      </x:c>
      <x:c r="F432" s="2" t="str">
        <x:v>No</x:v>
      </x:c>
      <x:c r="G432" s="2" t="str"/>
    </x:row>
    <x:row r="433" ht="23" customHeight="1">
      <x:c r="A433" s="2" t="str">
        <x:v>INV00429</x:v>
      </x:c>
      <x:c r="B433" s="2" t="str">
        <x:v>C018</x:v>
      </x:c>
      <x:c r="C433" s="10" t="d">
        <x:v>2026-06-30T00:00:00.000Z</x:v>
      </x:c>
      <x:c r="D433" s="10" t="d">
        <x:v>2026-07-30T00:00:00.000Z</x:v>
      </x:c>
      <x:c r="E433" s="11" t="n">
        <x:v>8444.28</x:v>
      </x:c>
      <x:c r="F433" s="2" t="str">
        <x:v>No</x:v>
      </x:c>
      <x:c r="G433" s="2" t="str"/>
    </x:row>
    <x:row r="434" ht="23" customHeight="1">
      <x:c r="A434" s="2" t="str">
        <x:v>INV00430</x:v>
      </x:c>
      <x:c r="B434" s="2" t="str">
        <x:v>C019</x:v>
      </x:c>
      <x:c r="C434" s="10" t="d">
        <x:v>2026-07-25T00:00:00.000Z</x:v>
      </x:c>
      <x:c r="D434" s="10" t="d">
        <x:v>2026-08-24T00:00:00.000Z</x:v>
      </x:c>
      <x:c r="E434" s="11" t="n">
        <x:v>2493.56</x:v>
      </x:c>
      <x:c r="F434" s="2" t="str">
        <x:v>Yes</x:v>
      </x:c>
      <x:c r="G434" s="2" t="str">
        <x:v>Pricing query</x:v>
      </x:c>
    </x:row>
    <x:row r="435" ht="23" customHeight="1">
      <x:c r="A435" s="2" t="str">
        <x:v>INV00431</x:v>
      </x:c>
      <x:c r="B435" s="2" t="str">
        <x:v>C004</x:v>
      </x:c>
      <x:c r="C435" s="10" t="d">
        <x:v>2026-03-06T00:00:00.000Z</x:v>
      </x:c>
      <x:c r="D435" s="10" t="d">
        <x:v>2026-04-05T00:00:00.000Z</x:v>
      </x:c>
      <x:c r="E435" s="11" t="n">
        <x:v>12434.83</x:v>
      </x:c>
      <x:c r="F435" s="2" t="str">
        <x:v>No</x:v>
      </x:c>
      <x:c r="G435" s="2" t="str"/>
    </x:row>
    <x:row r="436" ht="23" customHeight="1">
      <x:c r="A436" s="2" t="str">
        <x:v>INV00432</x:v>
      </x:c>
      <x:c r="B436" s="2" t="str">
        <x:v>C008</x:v>
      </x:c>
      <x:c r="C436" s="10" t="d">
        <x:v>2026-03-18T00:00:00.000Z</x:v>
      </x:c>
      <x:c r="D436" s="10" t="d">
        <x:v>2026-04-02T00:00:00.000Z</x:v>
      </x:c>
      <x:c r="E436" s="11" t="n">
        <x:v>13585.15</x:v>
      </x:c>
      <x:c r="F436" s="2" t="str">
        <x:v>No</x:v>
      </x:c>
      <x:c r="G436" s="2" t="str"/>
    </x:row>
    <x:row r="437" ht="23" customHeight="1">
      <x:c r="A437" s="2" t="str">
        <x:v>INV00433</x:v>
      </x:c>
      <x:c r="B437" s="2" t="str">
        <x:v>C028</x:v>
      </x:c>
      <x:c r="C437" s="10" t="d">
        <x:v>2026-03-13T00:00:00.000Z</x:v>
      </x:c>
      <x:c r="D437" s="10" t="d">
        <x:v>2026-04-12T00:00:00.000Z</x:v>
      </x:c>
      <x:c r="E437" s="11" t="n">
        <x:v>2300.72</x:v>
      </x:c>
      <x:c r="F437" s="2" t="str">
        <x:v>No</x:v>
      </x:c>
      <x:c r="G437" s="2" t="str"/>
    </x:row>
    <x:row r="438" ht="23" customHeight="1">
      <x:c r="A438" s="2" t="str">
        <x:v>INV00434</x:v>
      </x:c>
      <x:c r="B438" s="2" t="str">
        <x:v>C037</x:v>
      </x:c>
      <x:c r="C438" s="10" t="d">
        <x:v>2026-02-15T00:00:00.000Z</x:v>
      </x:c>
      <x:c r="D438" s="10" t="d">
        <x:v>2026-04-16T00:00:00.000Z</x:v>
      </x:c>
      <x:c r="E438" s="11" t="n">
        <x:v>18567.4</x:v>
      </x:c>
      <x:c r="F438" s="2" t="str">
        <x:v>No</x:v>
      </x:c>
      <x:c r="G438" s="2" t="str"/>
    </x:row>
    <x:row r="439" ht="23" customHeight="1">
      <x:c r="A439" s="2" t="str">
        <x:v>INV00435</x:v>
      </x:c>
      <x:c r="B439" s="2" t="str">
        <x:v>C006</x:v>
      </x:c>
      <x:c r="C439" s="10" t="d">
        <x:v>2026-05-07T00:00:00.000Z</x:v>
      </x:c>
      <x:c r="D439" s="10" t="d">
        <x:v>2026-06-06T00:00:00.000Z</x:v>
      </x:c>
      <x:c r="E439" s="11" t="n">
        <x:v>5202.38</x:v>
      </x:c>
      <x:c r="F439" s="2" t="str">
        <x:v>No</x:v>
      </x:c>
      <x:c r="G439" s="2" t="str"/>
    </x:row>
    <x:row r="440" ht="23" customHeight="1">
      <x:c r="A440" s="2" t="str">
        <x:v>INV00436</x:v>
      </x:c>
      <x:c r="B440" s="2" t="str">
        <x:v>C006</x:v>
      </x:c>
      <x:c r="C440" s="10" t="d">
        <x:v>2026-03-26T00:00:00.000Z</x:v>
      </x:c>
      <x:c r="D440" s="10" t="d">
        <x:v>2026-04-10T00:00:00.000Z</x:v>
      </x:c>
      <x:c r="E440" s="11" t="n">
        <x:v>7584.58</x:v>
      </x:c>
      <x:c r="F440" s="2" t="str">
        <x:v>No</x:v>
      </x:c>
      <x:c r="G440" s="2" t="str"/>
    </x:row>
    <x:row r="441" ht="23" customHeight="1">
      <x:c r="A441" s="2" t="str">
        <x:v>INV00437</x:v>
      </x:c>
      <x:c r="B441" s="2" t="str">
        <x:v>C033</x:v>
      </x:c>
      <x:c r="C441" s="10" t="d">
        <x:v>2026-08-17T00:00:00.000Z</x:v>
      </x:c>
      <x:c r="D441" s="10" t="d">
        <x:v>2026-09-01T00:00:00.000Z</x:v>
      </x:c>
      <x:c r="E441" s="11" t="n">
        <x:v>12868.13</x:v>
      </x:c>
      <x:c r="F441" s="2" t="str">
        <x:v>No</x:v>
      </x:c>
      <x:c r="G441" s="2" t="str"/>
    </x:row>
    <x:row r="442" ht="23" customHeight="1">
      <x:c r="A442" s="2" t="str">
        <x:v>INV00438</x:v>
      </x:c>
      <x:c r="B442" s="2" t="str">
        <x:v>C028</x:v>
      </x:c>
      <x:c r="C442" s="10" t="d">
        <x:v>2026-01-06T00:00:00.000Z</x:v>
      </x:c>
      <x:c r="D442" s="10" t="d">
        <x:v>2026-02-20T00:00:00.000Z</x:v>
      </x:c>
      <x:c r="E442" s="11" t="n">
        <x:v>2191.91</x:v>
      </x:c>
      <x:c r="F442" s="2" t="str">
        <x:v>No</x:v>
      </x:c>
      <x:c r="G442" s="2" t="str"/>
    </x:row>
    <x:row r="443" ht="23" customHeight="1">
      <x:c r="A443" s="2" t="str">
        <x:v>INV00439</x:v>
      </x:c>
      <x:c r="B443" s="2" t="str">
        <x:v>C035</x:v>
      </x:c>
      <x:c r="C443" s="10" t="d">
        <x:v>2026-04-20T00:00:00.000Z</x:v>
      </x:c>
      <x:c r="D443" s="10" t="d">
        <x:v>2026-05-20T00:00:00.000Z</x:v>
      </x:c>
      <x:c r="E443" s="11" t="n">
        <x:v>1804.61</x:v>
      </x:c>
      <x:c r="F443" s="2" t="str">
        <x:v>No</x:v>
      </x:c>
      <x:c r="G443" s="2" t="str"/>
    </x:row>
    <x:row r="444" ht="23" customHeight="1">
      <x:c r="A444" s="2" t="str">
        <x:v>INV00440</x:v>
      </x:c>
      <x:c r="B444" s="2" t="str">
        <x:v>C012</x:v>
      </x:c>
      <x:c r="C444" s="10" t="d">
        <x:v>2026-06-09T00:00:00.000Z</x:v>
      </x:c>
      <x:c r="D444" s="10" t="d">
        <x:v>2026-07-24T00:00:00.000Z</x:v>
      </x:c>
      <x:c r="E444" s="11" t="n">
        <x:v>6272.42</x:v>
      </x:c>
      <x:c r="F444" s="2" t="str">
        <x:v>Yes</x:v>
      </x:c>
      <x:c r="G444" s="2" t="str">
        <x:v>Service acceptance pending</x:v>
      </x:c>
    </x:row>
    <x:row r="445" ht="23" customHeight="1">
      <x:c r="A445" s="2" t="str">
        <x:v>INV00441</x:v>
      </x:c>
      <x:c r="B445" s="2" t="str">
        <x:v>C034</x:v>
      </x:c>
      <x:c r="C445" s="10" t="d">
        <x:v>2026-04-10T00:00:00.000Z</x:v>
      </x:c>
      <x:c r="D445" s="10" t="d">
        <x:v>2026-05-10T00:00:00.000Z</x:v>
      </x:c>
      <x:c r="E445" s="11" t="n">
        <x:v>5961.82</x:v>
      </x:c>
      <x:c r="F445" s="2" t="str">
        <x:v>No</x:v>
      </x:c>
      <x:c r="G445" s="2" t="str"/>
    </x:row>
    <x:row r="446" ht="23" customHeight="1">
      <x:c r="A446" s="2" t="str">
        <x:v>INV00442</x:v>
      </x:c>
      <x:c r="B446" s="2" t="str">
        <x:v>C032</x:v>
      </x:c>
      <x:c r="C446" s="10" t="d">
        <x:v>2026-04-04T00:00:00.000Z</x:v>
      </x:c>
      <x:c r="D446" s="10" t="d">
        <x:v>2026-06-03T00:00:00.000Z</x:v>
      </x:c>
      <x:c r="E446" s="11" t="n">
        <x:v>11654.03</x:v>
      </x:c>
      <x:c r="F446" s="2" t="str">
        <x:v>No</x:v>
      </x:c>
      <x:c r="G446" s="2" t="str"/>
    </x:row>
    <x:row r="447" ht="23" customHeight="1">
      <x:c r="A447" s="2" t="str">
        <x:v>INV00443</x:v>
      </x:c>
      <x:c r="B447" s="2" t="str">
        <x:v>C024</x:v>
      </x:c>
      <x:c r="C447" s="10" t="d">
        <x:v>2026-09-08T00:00:00.000Z</x:v>
      </x:c>
      <x:c r="D447" s="10" t="d">
        <x:v>2026-10-08T00:00:00.000Z</x:v>
      </x:c>
      <x:c r="E447" s="11" t="n">
        <x:v>14892.77</x:v>
      </x:c>
      <x:c r="F447" s="2" t="str">
        <x:v>Yes</x:v>
      </x:c>
      <x:c r="G447" s="2" t="str">
        <x:v>Invoice detail query</x:v>
      </x:c>
    </x:row>
    <x:row r="448" ht="23" customHeight="1">
      <x:c r="A448" s="2" t="str">
        <x:v>INV00444</x:v>
      </x:c>
      <x:c r="B448" s="2" t="str">
        <x:v>C018</x:v>
      </x:c>
      <x:c r="C448" s="10" t="d">
        <x:v>2026-06-15T00:00:00.000Z</x:v>
      </x:c>
      <x:c r="D448" s="10" t="d">
        <x:v>2026-06-30T00:00:00.000Z</x:v>
      </x:c>
      <x:c r="E448" s="11" t="n">
        <x:v>18096.36</x:v>
      </x:c>
      <x:c r="F448" s="2" t="str">
        <x:v>No</x:v>
      </x:c>
      <x:c r="G448" s="2" t="str"/>
    </x:row>
    <x:row r="449" ht="23" customHeight="1">
      <x:c r="A449" s="2" t="str">
        <x:v>INV00445</x:v>
      </x:c>
      <x:c r="B449" s="2" t="str">
        <x:v>C021</x:v>
      </x:c>
      <x:c r="C449" s="10" t="d">
        <x:v>2026-02-01T00:00:00.000Z</x:v>
      </x:c>
      <x:c r="D449" s="10" t="d">
        <x:v>2026-03-18T00:00:00.000Z</x:v>
      </x:c>
      <x:c r="E449" s="11" t="n">
        <x:v>6447.99</x:v>
      </x:c>
      <x:c r="F449" s="2" t="str">
        <x:v>No</x:v>
      </x:c>
      <x:c r="G449" s="2" t="str"/>
    </x:row>
    <x:row r="450" ht="23" customHeight="1">
      <x:c r="A450" s="2" t="str">
        <x:v>INV00446</x:v>
      </x:c>
      <x:c r="B450" s="2" t="str">
        <x:v>C020</x:v>
      </x:c>
      <x:c r="C450" s="10" t="d">
        <x:v>2026-06-24T00:00:00.000Z</x:v>
      </x:c>
      <x:c r="D450" s="10" t="d">
        <x:v>2026-07-24T00:00:00.000Z</x:v>
      </x:c>
      <x:c r="E450" s="11" t="n">
        <x:v>19704.26</x:v>
      </x:c>
      <x:c r="F450" s="2" t="str">
        <x:v>Yes</x:v>
      </x:c>
      <x:c r="G450" s="2" t="str">
        <x:v>Pricing query</x:v>
      </x:c>
    </x:row>
    <x:row r="451" ht="23" customHeight="1">
      <x:c r="A451" s="2" t="str">
        <x:v>INV00447</x:v>
      </x:c>
      <x:c r="B451" s="2" t="str">
        <x:v>C004</x:v>
      </x:c>
      <x:c r="C451" s="10" t="d">
        <x:v>2026-01-23T00:00:00.000Z</x:v>
      </x:c>
      <x:c r="D451" s="10" t="d">
        <x:v>2026-03-09T00:00:00.000Z</x:v>
      </x:c>
      <x:c r="E451" s="11" t="n">
        <x:v>12361.53</x:v>
      </x:c>
      <x:c r="F451" s="2" t="str">
        <x:v>No</x:v>
      </x:c>
      <x:c r="G451" s="2" t="str"/>
    </x:row>
    <x:row r="452" ht="23" customHeight="1">
      <x:c r="A452" s="2" t="str">
        <x:v>INV00448</x:v>
      </x:c>
      <x:c r="B452" s="2" t="str">
        <x:v>C032</x:v>
      </x:c>
      <x:c r="C452" s="10" t="d">
        <x:v>2026-07-30T00:00:00.000Z</x:v>
      </x:c>
      <x:c r="D452" s="10" t="d">
        <x:v>2026-09-28T00:00:00.000Z</x:v>
      </x:c>
      <x:c r="E452" s="11" t="n">
        <x:v>5440.05</x:v>
      </x:c>
      <x:c r="F452" s="2" t="str">
        <x:v>No</x:v>
      </x:c>
      <x:c r="G452" s="2" t="str"/>
    </x:row>
    <x:row r="453" ht="23" customHeight="1">
      <x:c r="A453" s="2" t="str">
        <x:v>INV00449</x:v>
      </x:c>
      <x:c r="B453" s="2" t="str">
        <x:v>C004</x:v>
      </x:c>
      <x:c r="C453" s="10" t="d">
        <x:v>2026-07-02T00:00:00.000Z</x:v>
      </x:c>
      <x:c r="D453" s="10" t="d">
        <x:v>2026-08-01T00:00:00.000Z</x:v>
      </x:c>
      <x:c r="E453" s="11" t="n">
        <x:v>1136.21</x:v>
      </x:c>
      <x:c r="F453" s="2" t="str">
        <x:v>Yes</x:v>
      </x:c>
      <x:c r="G453" s="2" t="str">
        <x:v>Pricing query</x:v>
      </x:c>
    </x:row>
    <x:row r="454" ht="23" customHeight="1">
      <x:c r="A454" s="2" t="str">
        <x:v>INV00450</x:v>
      </x:c>
      <x:c r="B454" s="2" t="str">
        <x:v>C004</x:v>
      </x:c>
      <x:c r="C454" s="10" t="d">
        <x:v>2026-01-17T00:00:00.000Z</x:v>
      </x:c>
      <x:c r="D454" s="10" t="d">
        <x:v>2026-02-16T00:00:00.000Z</x:v>
      </x:c>
      <x:c r="E454" s="11" t="n">
        <x:v>4887.65</x:v>
      </x:c>
      <x:c r="F454" s="2" t="str">
        <x:v>No</x:v>
      </x:c>
      <x:c r="G454" s="2" t="str"/>
    </x:row>
    <x:row r="455" ht="23" customHeight="1">
      <x:c r="A455" s="2" t="str">
        <x:v>INV00451</x:v>
      </x:c>
      <x:c r="B455" s="2" t="str">
        <x:v>C038</x:v>
      </x:c>
      <x:c r="C455" s="10" t="d">
        <x:v>2026-09-15T00:00:00.000Z</x:v>
      </x:c>
      <x:c r="D455" s="10" t="d">
        <x:v>2026-10-15T00:00:00.000Z</x:v>
      </x:c>
      <x:c r="E455" s="11" t="n">
        <x:v>5982.95</x:v>
      </x:c>
      <x:c r="F455" s="2" t="str">
        <x:v>No</x:v>
      </x:c>
      <x:c r="G455" s="2" t="str"/>
    </x:row>
    <x:row r="456" ht="23" customHeight="1">
      <x:c r="A456" s="2" t="str">
        <x:v>INV00452</x:v>
      </x:c>
      <x:c r="B456" s="2" t="str">
        <x:v>C025</x:v>
      </x:c>
      <x:c r="C456" s="10" t="d">
        <x:v>2026-02-04T00:00:00.000Z</x:v>
      </x:c>
      <x:c r="D456" s="10" t="d">
        <x:v>2026-04-05T00:00:00.000Z</x:v>
      </x:c>
      <x:c r="E456" s="11" t="n">
        <x:v>4023.46</x:v>
      </x:c>
      <x:c r="F456" s="2" t="str">
        <x:v>No</x:v>
      </x:c>
      <x:c r="G456" s="2" t="str"/>
    </x:row>
    <x:row r="457" ht="23" customHeight="1">
      <x:c r="A457" s="2" t="str">
        <x:v>INV00453</x:v>
      </x:c>
      <x:c r="B457" s="2" t="str">
        <x:v>C019</x:v>
      </x:c>
      <x:c r="C457" s="10" t="d">
        <x:v>2026-09-09T00:00:00.000Z</x:v>
      </x:c>
      <x:c r="D457" s="10" t="d">
        <x:v>2026-10-24T00:00:00.000Z</x:v>
      </x:c>
      <x:c r="E457" s="11" t="n">
        <x:v>17060.72</x:v>
      </x:c>
      <x:c r="F457" s="2" t="str">
        <x:v>No</x:v>
      </x:c>
      <x:c r="G457" s="2" t="str"/>
    </x:row>
    <x:row r="458" ht="23" customHeight="1">
      <x:c r="A458" s="2" t="str">
        <x:v>INV00454</x:v>
      </x:c>
      <x:c r="B458" s="2" t="str">
        <x:v>C003</x:v>
      </x:c>
      <x:c r="C458" s="10" t="d">
        <x:v>2026-04-20T00:00:00.000Z</x:v>
      </x:c>
      <x:c r="D458" s="10" t="d">
        <x:v>2026-05-20T00:00:00.000Z</x:v>
      </x:c>
      <x:c r="E458" s="11" t="n">
        <x:v>1035.93</x:v>
      </x:c>
      <x:c r="F458" s="2" t="str">
        <x:v>No</x:v>
      </x:c>
      <x:c r="G458" s="2" t="str"/>
    </x:row>
    <x:row r="459" ht="23" customHeight="1">
      <x:c r="A459" s="2" t="str">
        <x:v>INV00455</x:v>
      </x:c>
      <x:c r="B459" s="2" t="str">
        <x:v>C029</x:v>
      </x:c>
      <x:c r="C459" s="10" t="d">
        <x:v>2026-05-11T00:00:00.000Z</x:v>
      </x:c>
      <x:c r="D459" s="10" t="d">
        <x:v>2026-06-10T00:00:00.000Z</x:v>
      </x:c>
      <x:c r="E459" s="11" t="n">
        <x:v>11145.4</x:v>
      </x:c>
      <x:c r="F459" s="2" t="str">
        <x:v>Yes</x:v>
      </x:c>
      <x:c r="G459" s="2" t="str">
        <x:v>Invoice detail query</x:v>
      </x:c>
    </x:row>
    <x:row r="460" ht="23" customHeight="1">
      <x:c r="A460" s="2" t="str">
        <x:v>INV00456</x:v>
      </x:c>
      <x:c r="B460" s="2" t="str">
        <x:v>C039</x:v>
      </x:c>
      <x:c r="C460" s="10" t="d">
        <x:v>2026-06-06T00:00:00.000Z</x:v>
      </x:c>
      <x:c r="D460" s="10" t="d">
        <x:v>2026-07-21T00:00:00.000Z</x:v>
      </x:c>
      <x:c r="E460" s="11" t="n">
        <x:v>10949.15</x:v>
      </x:c>
      <x:c r="F460" s="2" t="str">
        <x:v>No</x:v>
      </x:c>
      <x:c r="G460" s="2" t="str"/>
    </x:row>
    <x:row r="461" ht="23" customHeight="1">
      <x:c r="A461" s="2" t="str">
        <x:v>INV00457</x:v>
      </x:c>
      <x:c r="B461" s="2" t="str">
        <x:v>C026</x:v>
      </x:c>
      <x:c r="C461" s="10" t="d">
        <x:v>2026-02-02T00:00:00.000Z</x:v>
      </x:c>
      <x:c r="D461" s="10" t="d">
        <x:v>2026-03-04T00:00:00.000Z</x:v>
      </x:c>
      <x:c r="E461" s="11" t="n">
        <x:v>18214.27</x:v>
      </x:c>
      <x:c r="F461" s="2" t="str">
        <x:v>No</x:v>
      </x:c>
      <x:c r="G461" s="2" t="str"/>
    </x:row>
    <x:row r="462" ht="23" customHeight="1">
      <x:c r="A462" s="2" t="str">
        <x:v>INV00458</x:v>
      </x:c>
      <x:c r="B462" s="2" t="str">
        <x:v>C028</x:v>
      </x:c>
      <x:c r="C462" s="10" t="d">
        <x:v>2026-03-09T00:00:00.000Z</x:v>
      </x:c>
      <x:c r="D462" s="10" t="d">
        <x:v>2026-04-23T00:00:00.000Z</x:v>
      </x:c>
      <x:c r="E462" s="11" t="n">
        <x:v>4539.18</x:v>
      </x:c>
      <x:c r="F462" s="2" t="str">
        <x:v>No</x:v>
      </x:c>
      <x:c r="G462" s="2" t="str"/>
    </x:row>
    <x:row r="463" ht="23" customHeight="1">
      <x:c r="A463" s="2" t="str">
        <x:v>INV00459</x:v>
      </x:c>
      <x:c r="B463" s="2" t="str">
        <x:v>C022</x:v>
      </x:c>
      <x:c r="C463" s="10" t="d">
        <x:v>2026-03-04T00:00:00.000Z</x:v>
      </x:c>
      <x:c r="D463" s="10" t="d">
        <x:v>2026-05-03T00:00:00.000Z</x:v>
      </x:c>
      <x:c r="E463" s="11" t="n">
        <x:v>6169.63</x:v>
      </x:c>
      <x:c r="F463" s="2" t="str">
        <x:v>No</x:v>
      </x:c>
      <x:c r="G463" s="2" t="str"/>
    </x:row>
    <x:row r="464" ht="23" customHeight="1">
      <x:c r="A464" s="2" t="str">
        <x:v>INV00460</x:v>
      </x:c>
      <x:c r="B464" s="2" t="str">
        <x:v>C011</x:v>
      </x:c>
      <x:c r="C464" s="10" t="d">
        <x:v>2026-07-08T00:00:00.000Z</x:v>
      </x:c>
      <x:c r="D464" s="10" t="d">
        <x:v>2026-09-06T00:00:00.000Z</x:v>
      </x:c>
      <x:c r="E464" s="11" t="n">
        <x:v>16403.91</x:v>
      </x:c>
      <x:c r="F464" s="2" t="str">
        <x:v>No</x:v>
      </x:c>
      <x:c r="G464" s="2" t="str"/>
    </x:row>
    <x:row r="465" ht="23" customHeight="1">
      <x:c r="A465" s="2" t="str">
        <x:v>INV00461</x:v>
      </x:c>
      <x:c r="B465" s="2" t="str">
        <x:v>C022</x:v>
      </x:c>
      <x:c r="C465" s="10" t="d">
        <x:v>2026-08-06T00:00:00.000Z</x:v>
      </x:c>
      <x:c r="D465" s="10" t="d">
        <x:v>2026-10-05T00:00:00.000Z</x:v>
      </x:c>
      <x:c r="E465" s="11" t="n">
        <x:v>18781.81</x:v>
      </x:c>
      <x:c r="F465" s="2" t="str">
        <x:v>No</x:v>
      </x:c>
      <x:c r="G465" s="2" t="str"/>
    </x:row>
    <x:row r="466" ht="23" customHeight="1">
      <x:c r="A466" s="2" t="str">
        <x:v>INV00462</x:v>
      </x:c>
      <x:c r="B466" s="2" t="str">
        <x:v>C002</x:v>
      </x:c>
      <x:c r="C466" s="10" t="d">
        <x:v>2026-05-28T00:00:00.000Z</x:v>
      </x:c>
      <x:c r="D466" s="10" t="d">
        <x:v>2026-07-12T00:00:00.000Z</x:v>
      </x:c>
      <x:c r="E466" s="11" t="n">
        <x:v>656.36</x:v>
      </x:c>
      <x:c r="F466" s="2" t="str">
        <x:v>No</x:v>
      </x:c>
      <x:c r="G466" s="2" t="str"/>
    </x:row>
    <x:row r="467" ht="23" customHeight="1">
      <x:c r="A467" s="2" t="str">
        <x:v>INV00463</x:v>
      </x:c>
      <x:c r="B467" s="2" t="str">
        <x:v>C002</x:v>
      </x:c>
      <x:c r="C467" s="10" t="d">
        <x:v>2026-09-02T00:00:00.000Z</x:v>
      </x:c>
      <x:c r="D467" s="10" t="d">
        <x:v>2026-10-02T00:00:00.000Z</x:v>
      </x:c>
      <x:c r="E467" s="11" t="n">
        <x:v>11212.24</x:v>
      </x:c>
      <x:c r="F467" s="2" t="str">
        <x:v>No</x:v>
      </x:c>
      <x:c r="G467" s="2" t="str"/>
    </x:row>
    <x:row r="468" ht="23" customHeight="1">
      <x:c r="A468" s="2" t="str">
        <x:v>INV00464</x:v>
      </x:c>
      <x:c r="B468" s="2" t="str">
        <x:v>C022</x:v>
      </x:c>
      <x:c r="C468" s="10" t="d">
        <x:v>2026-02-10T00:00:00.000Z</x:v>
      </x:c>
      <x:c r="D468" s="10" t="d">
        <x:v>2026-02-25T00:00:00.000Z</x:v>
      </x:c>
      <x:c r="E468" s="11" t="n">
        <x:v>11814.49</x:v>
      </x:c>
      <x:c r="F468" s="2" t="str">
        <x:v>No</x:v>
      </x:c>
      <x:c r="G468" s="2" t="str"/>
    </x:row>
    <x:row r="469" ht="23" customHeight="1">
      <x:c r="A469" s="2" t="str">
        <x:v>INV00465</x:v>
      </x:c>
      <x:c r="B469" s="2" t="str">
        <x:v>C039</x:v>
      </x:c>
      <x:c r="C469" s="10" t="d">
        <x:v>2026-05-08T00:00:00.000Z</x:v>
      </x:c>
      <x:c r="D469" s="10" t="d">
        <x:v>2026-06-22T00:00:00.000Z</x:v>
      </x:c>
      <x:c r="E469" s="11" t="n">
        <x:v>11106.29</x:v>
      </x:c>
      <x:c r="F469" s="2" t="str">
        <x:v>No</x:v>
      </x:c>
      <x:c r="G469" s="2" t="str"/>
    </x:row>
    <x:row r="470" ht="23" customHeight="1">
      <x:c r="A470" s="2" t="str">
        <x:v>INV00466</x:v>
      </x:c>
      <x:c r="B470" s="2" t="str">
        <x:v>C038</x:v>
      </x:c>
      <x:c r="C470" s="10" t="d">
        <x:v>2026-05-15T00:00:00.000Z</x:v>
      </x:c>
      <x:c r="D470" s="10" t="d">
        <x:v>2026-07-14T00:00:00.000Z</x:v>
      </x:c>
      <x:c r="E470" s="11" t="n">
        <x:v>19283.06</x:v>
      </x:c>
      <x:c r="F470" s="2" t="str">
        <x:v>No</x:v>
      </x:c>
      <x:c r="G470" s="2" t="str"/>
    </x:row>
    <x:row r="471" ht="23" customHeight="1">
      <x:c r="A471" s="2" t="str">
        <x:v>INV00467</x:v>
      </x:c>
      <x:c r="B471" s="2" t="str">
        <x:v>C025</x:v>
      </x:c>
      <x:c r="C471" s="10" t="d">
        <x:v>2026-09-29T00:00:00.000Z</x:v>
      </x:c>
      <x:c r="D471" s="10" t="d">
        <x:v>2026-11-28T00:00:00.000Z</x:v>
      </x:c>
      <x:c r="E471" s="11" t="n">
        <x:v>848.31</x:v>
      </x:c>
      <x:c r="F471" s="2" t="str">
        <x:v>No</x:v>
      </x:c>
      <x:c r="G471" s="2" t="str"/>
    </x:row>
    <x:row r="472" ht="23" customHeight="1">
      <x:c r="A472" s="2" t="str">
        <x:v>INV00468</x:v>
      </x:c>
      <x:c r="B472" s="2" t="str">
        <x:v>C020</x:v>
      </x:c>
      <x:c r="C472" s="10" t="d">
        <x:v>2026-05-10T00:00:00.000Z</x:v>
      </x:c>
      <x:c r="D472" s="10" t="d">
        <x:v>2026-06-09T00:00:00.000Z</x:v>
      </x:c>
      <x:c r="E472" s="11" t="n">
        <x:v>3342.86</x:v>
      </x:c>
      <x:c r="F472" s="2" t="str">
        <x:v>No</x:v>
      </x:c>
      <x:c r="G472" s="2" t="str"/>
    </x:row>
    <x:row r="473" ht="23" customHeight="1">
      <x:c r="A473" s="2" t="str">
        <x:v>INV00469</x:v>
      </x:c>
      <x:c r="B473" s="2" t="str">
        <x:v>C025</x:v>
      </x:c>
      <x:c r="C473" s="10" t="d">
        <x:v>2026-04-18T00:00:00.000Z</x:v>
      </x:c>
      <x:c r="D473" s="10" t="d">
        <x:v>2026-05-03T00:00:00.000Z</x:v>
      </x:c>
      <x:c r="E473" s="11" t="n">
        <x:v>9219.48</x:v>
      </x:c>
      <x:c r="F473" s="2" t="str">
        <x:v>No</x:v>
      </x:c>
      <x:c r="G473" s="2" t="str"/>
    </x:row>
    <x:row r="474" ht="23" customHeight="1">
      <x:c r="A474" s="2" t="str">
        <x:v>INV00470</x:v>
      </x:c>
      <x:c r="B474" s="2" t="str">
        <x:v>C027</x:v>
      </x:c>
      <x:c r="C474" s="10" t="d">
        <x:v>2026-01-24T00:00:00.000Z</x:v>
      </x:c>
      <x:c r="D474" s="10" t="d">
        <x:v>2026-03-10T00:00:00.000Z</x:v>
      </x:c>
      <x:c r="E474" s="11" t="n">
        <x:v>14838.47</x:v>
      </x:c>
      <x:c r="F474" s="2" t="str">
        <x:v>No</x:v>
      </x:c>
      <x:c r="G474" s="2" t="str"/>
    </x:row>
    <x:row r="475" ht="23" customHeight="1">
      <x:c r="A475" s="2" t="str">
        <x:v>INV00471</x:v>
      </x:c>
      <x:c r="B475" s="2" t="str">
        <x:v>C036</x:v>
      </x:c>
      <x:c r="C475" s="10" t="d">
        <x:v>2026-07-15T00:00:00.000Z</x:v>
      </x:c>
      <x:c r="D475" s="10" t="d">
        <x:v>2026-07-30T00:00:00.000Z</x:v>
      </x:c>
      <x:c r="E475" s="11" t="n">
        <x:v>15723.41</x:v>
      </x:c>
      <x:c r="F475" s="2" t="str">
        <x:v>No</x:v>
      </x:c>
      <x:c r="G475" s="2" t="str"/>
    </x:row>
    <x:row r="476" ht="23" customHeight="1">
      <x:c r="A476" s="2" t="str">
        <x:v>INV00472</x:v>
      </x:c>
      <x:c r="B476" s="2" t="str">
        <x:v>C031</x:v>
      </x:c>
      <x:c r="C476" s="10" t="d">
        <x:v>2026-04-25T00:00:00.000Z</x:v>
      </x:c>
      <x:c r="D476" s="10" t="d">
        <x:v>2026-06-09T00:00:00.000Z</x:v>
      </x:c>
      <x:c r="E476" s="11" t="n">
        <x:v>10897.31</x:v>
      </x:c>
      <x:c r="F476" s="2" t="str">
        <x:v>No</x:v>
      </x:c>
      <x:c r="G476" s="2" t="str"/>
    </x:row>
    <x:row r="477" ht="23" customHeight="1">
      <x:c r="A477" s="2" t="str">
        <x:v>INV00473</x:v>
      </x:c>
      <x:c r="B477" s="2" t="str">
        <x:v>C024</x:v>
      </x:c>
      <x:c r="C477" s="10" t="d">
        <x:v>2026-05-01T00:00:00.000Z</x:v>
      </x:c>
      <x:c r="D477" s="10" t="d">
        <x:v>2026-06-15T00:00:00.000Z</x:v>
      </x:c>
      <x:c r="E477" s="11" t="n">
        <x:v>6816.75</x:v>
      </x:c>
      <x:c r="F477" s="2" t="str">
        <x:v>No</x:v>
      </x:c>
      <x:c r="G477" s="2" t="str"/>
    </x:row>
    <x:row r="478" ht="23" customHeight="1">
      <x:c r="A478" s="2" t="str">
        <x:v>INV00474</x:v>
      </x:c>
      <x:c r="B478" s="2" t="str">
        <x:v>C023</x:v>
      </x:c>
      <x:c r="C478" s="10" t="d">
        <x:v>2026-05-23T00:00:00.000Z</x:v>
      </x:c>
      <x:c r="D478" s="10" t="d">
        <x:v>2026-06-22T00:00:00.000Z</x:v>
      </x:c>
      <x:c r="E478" s="11" t="n">
        <x:v>13460.98</x:v>
      </x:c>
      <x:c r="F478" s="2" t="str">
        <x:v>No</x:v>
      </x:c>
      <x:c r="G478" s="2" t="str"/>
    </x:row>
    <x:row r="479" ht="23" customHeight="1">
      <x:c r="A479" s="2" t="str">
        <x:v>INV00475</x:v>
      </x:c>
      <x:c r="B479" s="2" t="str">
        <x:v>C010</x:v>
      </x:c>
      <x:c r="C479" s="10" t="d">
        <x:v>2026-05-23T00:00:00.000Z</x:v>
      </x:c>
      <x:c r="D479" s="10" t="d">
        <x:v>2026-06-22T00:00:00.000Z</x:v>
      </x:c>
      <x:c r="E479" s="11" t="n">
        <x:v>4179.8</x:v>
      </x:c>
      <x:c r="F479" s="2" t="str">
        <x:v>No</x:v>
      </x:c>
      <x:c r="G479" s="2" t="str"/>
    </x:row>
    <x:row r="480" ht="23" customHeight="1">
      <x:c r="A480" s="2" t="str">
        <x:v>INV00476</x:v>
      </x:c>
      <x:c r="B480" s="2" t="str">
        <x:v>C005</x:v>
      </x:c>
      <x:c r="C480" s="10" t="d">
        <x:v>2026-05-04T00:00:00.000Z</x:v>
      </x:c>
      <x:c r="D480" s="10" t="d">
        <x:v>2026-06-03T00:00:00.000Z</x:v>
      </x:c>
      <x:c r="E480" s="11" t="n">
        <x:v>8207.5</x:v>
      </x:c>
      <x:c r="F480" s="2" t="str">
        <x:v>No</x:v>
      </x:c>
      <x:c r="G480" s="2" t="str"/>
    </x:row>
    <x:row r="481" ht="23" customHeight="1">
      <x:c r="A481" s="2" t="str">
        <x:v>INV00477</x:v>
      </x:c>
      <x:c r="B481" s="2" t="str">
        <x:v>C038</x:v>
      </x:c>
      <x:c r="C481" s="10" t="d">
        <x:v>2026-03-17T00:00:00.000Z</x:v>
      </x:c>
      <x:c r="D481" s="10" t="d">
        <x:v>2026-04-16T00:00:00.000Z</x:v>
      </x:c>
      <x:c r="E481" s="11" t="n">
        <x:v>9396.56</x:v>
      </x:c>
      <x:c r="F481" s="2" t="str">
        <x:v>No</x:v>
      </x:c>
      <x:c r="G481" s="2" t="str"/>
    </x:row>
    <x:row r="482" ht="23" customHeight="1">
      <x:c r="A482" s="2" t="str">
        <x:v>INV00478</x:v>
      </x:c>
      <x:c r="B482" s="2" t="str">
        <x:v>C015</x:v>
      </x:c>
      <x:c r="C482" s="10" t="d">
        <x:v>2026-02-25T00:00:00.000Z</x:v>
      </x:c>
      <x:c r="D482" s="10" t="d">
        <x:v>2026-04-11T00:00:00.000Z</x:v>
      </x:c>
      <x:c r="E482" s="11" t="n">
        <x:v>19000.35</x:v>
      </x:c>
      <x:c r="F482" s="2" t="str">
        <x:v>No</x:v>
      </x:c>
      <x:c r="G482" s="2" t="str"/>
    </x:row>
    <x:row r="483" ht="23" customHeight="1">
      <x:c r="A483" s="2" t="str">
        <x:v>INV00479</x:v>
      </x:c>
      <x:c r="B483" s="2" t="str">
        <x:v>C009</x:v>
      </x:c>
      <x:c r="C483" s="10" t="d">
        <x:v>2026-08-07T00:00:00.000Z</x:v>
      </x:c>
      <x:c r="D483" s="10" t="d">
        <x:v>2026-08-22T00:00:00.000Z</x:v>
      </x:c>
      <x:c r="E483" s="11" t="n">
        <x:v>16883.73</x:v>
      </x:c>
      <x:c r="F483" s="2" t="str">
        <x:v>No</x:v>
      </x:c>
      <x:c r="G483" s="2" t="str"/>
    </x:row>
    <x:row r="484" ht="23" customHeight="1">
      <x:c r="A484" s="2" t="str">
        <x:v>INV00480</x:v>
      </x:c>
      <x:c r="B484" s="2" t="str">
        <x:v>C034</x:v>
      </x:c>
      <x:c r="C484" s="10" t="d">
        <x:v>2026-04-12T00:00:00.000Z</x:v>
      </x:c>
      <x:c r="D484" s="10" t="d">
        <x:v>2026-05-27T00:00:00.000Z</x:v>
      </x:c>
      <x:c r="E484" s="11" t="n">
        <x:v>16012.57</x:v>
      </x:c>
      <x:c r="F484" s="2" t="str">
        <x:v>No</x:v>
      </x:c>
      <x:c r="G484" s="2" t="str"/>
    </x:row>
  </x:sheetData>
  <x:pageMargins left="0.7" right="0.7" top="0.75" bottom="0.75" header="0.3" footer="0.3"/>
  <x:tableParts count="1">
    <x:tablePart xmlns:r="http://schemas.openxmlformats.org/officeDocument/2006/relationships" r:id="Rec32da68281f49be"/>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19" hidden="0" customWidth="1"/>
    <x:col min="3" max="3" width="17" hidden="0" customWidth="1"/>
    <x:col min="4" max="4" width="19" hidden="0" customWidth="1"/>
    <x:col min="5" max="5" width="25" hidden="0" customWidth="1"/>
  </x:cols>
  <x:sheetData>
    <x:row r="1" ht="30" customHeight="1">
      <x:c r="A1" s="3" t="str">
        <x:v>Payments</x:v>
      </x:c>
      <x:c r="B1" s="2"/>
      <x:c r="C1" s="2"/>
      <x:c r="D1" s="2"/>
      <x:c r="E1" s="2"/>
    </x:row>
    <x:row r="2" ht="23" customHeight="1">
      <x:c r="A2" s="4" t="str">
        <x:v>Fictional portfolio data generated for this project. All amounts are CAD.</x:v>
      </x:c>
      <x:c r="B2" s="2"/>
      <x:c r="C2" s="2"/>
      <x:c r="D2" s="2"/>
      <x:c r="E2" s="2"/>
    </x:row>
    <x:row r="3" ht="23" customHeight="1">
      <x:c r="A3" s="5"/>
      <x:c r="B3" s="5"/>
      <x:c r="C3" s="5"/>
      <x:c r="D3" s="5"/>
      <x:c r="E3" s="5"/>
    </x:row>
    <x:row r="4" ht="34" customHeight="1">
      <x:c r="A4" s="9" t="str">
        <x:v>PaymentID</x:v>
      </x:c>
      <x:c r="B4" s="9" t="str">
        <x:v>InvoiceID</x:v>
      </x:c>
      <x:c r="C4" s="9" t="str">
        <x:v>CustomerID</x:v>
      </x:c>
      <x:c r="D4" s="9" t="str">
        <x:v>PaymentDate</x:v>
      </x:c>
      <x:c r="E4" s="9" t="str">
        <x:v>PaymentAmountCAD</x:v>
      </x:c>
    </x:row>
    <x:row r="5" ht="23" customHeight="1">
      <x:c r="A5" s="2" t="str">
        <x:v>P00290</x:v>
      </x:c>
      <x:c r="B5" s="2" t="str">
        <x:v>INV00338</x:v>
      </x:c>
      <x:c r="C5" s="2" t="str">
        <x:v>C017</x:v>
      </x:c>
      <x:c r="D5" s="10" t="d">
        <x:v>2026-01-13T00:00:00.000Z</x:v>
      </x:c>
      <x:c r="E5" s="11" t="n">
        <x:v>3708.91</x:v>
      </x:c>
    </x:row>
    <x:row r="6" ht="23" customHeight="1">
      <x:c r="A6" s="2" t="str">
        <x:v>P00100</x:v>
      </x:c>
      <x:c r="B6" s="2" t="str">
        <x:v>INV00109</x:v>
      </x:c>
      <x:c r="C6" s="2" t="str">
        <x:v>C001</x:v>
      </x:c>
      <x:c r="D6" s="10" t="d">
        <x:v>2026-01-20T00:00:00.000Z</x:v>
      </x:c>
      <x:c r="E6" s="11" t="n">
        <x:v>8525.5</x:v>
      </x:c>
    </x:row>
    <x:row r="7" ht="23" customHeight="1">
      <x:c r="A7" s="2" t="str">
        <x:v>P00301</x:v>
      </x:c>
      <x:c r="B7" s="2" t="str">
        <x:v>INV00347</x:v>
      </x:c>
      <x:c r="C7" s="2" t="str">
        <x:v>C018</x:v>
      </x:c>
      <x:c r="D7" s="10" t="d">
        <x:v>2026-01-20T00:00:00.000Z</x:v>
      </x:c>
      <x:c r="E7" s="11" t="n">
        <x:v>9916.63</x:v>
      </x:c>
    </x:row>
    <x:row r="8" ht="23" customHeight="1">
      <x:c r="A8" s="2" t="str">
        <x:v>P00360</x:v>
      </x:c>
      <x:c r="B8" s="2" t="str">
        <x:v>INV00402</x:v>
      </x:c>
      <x:c r="C8" s="2" t="str">
        <x:v>C038</x:v>
      </x:c>
      <x:c r="D8" s="10" t="d">
        <x:v>2026-01-21T00:00:00.000Z</x:v>
      </x:c>
      <x:c r="E8" s="11" t="n">
        <x:v>12602</x:v>
      </x:c>
    </x:row>
    <x:row r="9" ht="23" customHeight="1">
      <x:c r="A9" s="2" t="str">
        <x:v>P00285</x:v>
      </x:c>
      <x:c r="B9" s="2" t="str">
        <x:v>INV00330</x:v>
      </x:c>
      <x:c r="C9" s="2" t="str">
        <x:v>C023</x:v>
      </x:c>
      <x:c r="D9" s="10" t="d">
        <x:v>2026-01-30T00:00:00.000Z</x:v>
      </x:c>
      <x:c r="E9" s="11" t="n">
        <x:v>5873.71</x:v>
      </x:c>
    </x:row>
    <x:row r="10" ht="23" customHeight="1">
      <x:c r="A10" s="2" t="str">
        <x:v>P00350</x:v>
      </x:c>
      <x:c r="B10" s="2" t="str">
        <x:v>INV00393</x:v>
      </x:c>
      <x:c r="C10" s="2" t="str">
        <x:v>C030</x:v>
      </x:c>
      <x:c r="D10" s="10" t="d">
        <x:v>2026-02-02T00:00:00.000Z</x:v>
      </x:c>
      <x:c r="E10" s="11" t="n">
        <x:v>1083.37</x:v>
      </x:c>
    </x:row>
    <x:row r="11" ht="23" customHeight="1">
      <x:c r="A11" s="2" t="str">
        <x:v>P00175</x:v>
      </x:c>
      <x:c r="B11" s="2" t="str">
        <x:v>INV00204</x:v>
      </x:c>
      <x:c r="C11" s="2" t="str">
        <x:v>C018</x:v>
      </x:c>
      <x:c r="D11" s="10" t="d">
        <x:v>2026-02-03T00:00:00.000Z</x:v>
      </x:c>
      <x:c r="E11" s="11" t="n">
        <x:v>1252.04</x:v>
      </x:c>
    </x:row>
    <x:row r="12" ht="23" customHeight="1">
      <x:c r="A12" s="2" t="str">
        <x:v>P00183</x:v>
      </x:c>
      <x:c r="B12" s="2" t="str">
        <x:v>INV00214</x:v>
      </x:c>
      <x:c r="C12" s="2" t="str">
        <x:v>C008</x:v>
      </x:c>
      <x:c r="D12" s="10" t="d">
        <x:v>2026-02-04T00:00:00.000Z</x:v>
      </x:c>
      <x:c r="E12" s="11" t="n">
        <x:v>5143.46</x:v>
      </x:c>
    </x:row>
    <x:row r="13" ht="23" customHeight="1">
      <x:c r="A13" s="2" t="str">
        <x:v>P00114</x:v>
      </x:c>
      <x:c r="B13" s="2" t="str">
        <x:v>INV00126</x:v>
      </x:c>
      <x:c r="C13" s="2" t="str">
        <x:v>C018</x:v>
      </x:c>
      <x:c r="D13" s="10" t="d">
        <x:v>2026-02-09T00:00:00.000Z</x:v>
      </x:c>
      <x:c r="E13" s="11" t="n">
        <x:v>8758.58</x:v>
      </x:c>
    </x:row>
    <x:row r="14" ht="23" customHeight="1">
      <x:c r="A14" s="2" t="str">
        <x:v>P00004</x:v>
      </x:c>
      <x:c r="B14" s="2" t="str">
        <x:v>INV00005</x:v>
      </x:c>
      <x:c r="C14" s="2" t="str">
        <x:v>C026</x:v>
      </x:c>
      <x:c r="D14" s="10" t="d">
        <x:v>2026-02-11T00:00:00.000Z</x:v>
      </x:c>
      <x:c r="E14" s="11" t="n">
        <x:v>12226.53</x:v>
      </x:c>
    </x:row>
    <x:row r="15" ht="23" customHeight="1">
      <x:c r="A15" s="2" t="str">
        <x:v>P00071</x:v>
      </x:c>
      <x:c r="B15" s="2" t="str">
        <x:v>INV00080</x:v>
      </x:c>
      <x:c r="C15" s="2" t="str">
        <x:v>C027</x:v>
      </x:c>
      <x:c r="D15" s="10" t="d">
        <x:v>2026-02-14T00:00:00.000Z</x:v>
      </x:c>
      <x:c r="E15" s="11" t="n">
        <x:v>19162.51</x:v>
      </x:c>
    </x:row>
    <x:row r="16" ht="23" customHeight="1">
      <x:c r="A16" s="2" t="str">
        <x:v>P00112</x:v>
      </x:c>
      <x:c r="B16" s="2" t="str">
        <x:v>INV00124</x:v>
      </x:c>
      <x:c r="C16" s="2" t="str">
        <x:v>C033</x:v>
      </x:c>
      <x:c r="D16" s="10" t="d">
        <x:v>2026-02-16T00:00:00.000Z</x:v>
      </x:c>
      <x:c r="E16" s="11" t="n">
        <x:v>1082.86</x:v>
      </x:c>
    </x:row>
    <x:row r="17" ht="23" customHeight="1">
      <x:c r="A17" s="2" t="str">
        <x:v>P00277</x:v>
      </x:c>
      <x:c r="B17" s="2" t="str">
        <x:v>INV00320</x:v>
      </x:c>
      <x:c r="C17" s="2" t="str">
        <x:v>C020</x:v>
      </x:c>
      <x:c r="D17" s="10" t="d">
        <x:v>2026-02-16T00:00:00.000Z</x:v>
      </x:c>
      <x:c r="E17" s="11" t="n">
        <x:v>8491.22</x:v>
      </x:c>
    </x:row>
    <x:row r="18" ht="23" customHeight="1">
      <x:c r="A18" s="2" t="str">
        <x:v>P00068</x:v>
      </x:c>
      <x:c r="B18" s="2" t="str">
        <x:v>INV00077</x:v>
      </x:c>
      <x:c r="C18" s="2" t="str">
        <x:v>C029</x:v>
      </x:c>
      <x:c r="D18" s="10" t="d">
        <x:v>2026-02-20T00:00:00.000Z</x:v>
      </x:c>
      <x:c r="E18" s="11" t="n">
        <x:v>12573.83</x:v>
      </x:c>
    </x:row>
    <x:row r="19" ht="23" customHeight="1">
      <x:c r="A19" s="2" t="str">
        <x:v>P00221</x:v>
      </x:c>
      <x:c r="B19" s="2" t="str">
        <x:v>INV00257</x:v>
      </x:c>
      <x:c r="C19" s="2" t="str">
        <x:v>C014</x:v>
      </x:c>
      <x:c r="D19" s="10" t="d">
        <x:v>2026-02-20T00:00:00.000Z</x:v>
      </x:c>
      <x:c r="E19" s="11" t="n">
        <x:v>1207.51</x:v>
      </x:c>
    </x:row>
    <x:row r="20" ht="23" customHeight="1">
      <x:c r="A20" s="2" t="str">
        <x:v>P00328</x:v>
      </x:c>
      <x:c r="B20" s="2" t="str">
        <x:v>INV00373</x:v>
      </x:c>
      <x:c r="C20" s="2" t="str">
        <x:v>C010</x:v>
      </x:c>
      <x:c r="D20" s="10" t="d">
        <x:v>2026-02-21T00:00:00.000Z</x:v>
      </x:c>
      <x:c r="E20" s="11" t="n">
        <x:v>17443.48</x:v>
      </x:c>
    </x:row>
    <x:row r="21" ht="23" customHeight="1">
      <x:c r="A21" s="2" t="str">
        <x:v>P00357</x:v>
      </x:c>
      <x:c r="B21" s="2" t="str">
        <x:v>INV00400</x:v>
      </x:c>
      <x:c r="C21" s="2" t="str">
        <x:v>C018</x:v>
      </x:c>
      <x:c r="D21" s="10" t="d">
        <x:v>2026-02-21T00:00:00.000Z</x:v>
      </x:c>
      <x:c r="E21" s="11" t="n">
        <x:v>8967.22</x:v>
      </x:c>
    </x:row>
    <x:row r="22" ht="23" customHeight="1">
      <x:c r="A22" s="2" t="str">
        <x:v>P00308</x:v>
      </x:c>
      <x:c r="B22" s="2" t="str">
        <x:v>INV00353</x:v>
      </x:c>
      <x:c r="C22" s="2" t="str">
        <x:v>C006</x:v>
      </x:c>
      <x:c r="D22" s="10" t="d">
        <x:v>2026-02-23T00:00:00.000Z</x:v>
      </x:c>
      <x:c r="E22" s="11" t="n">
        <x:v>2645.37</x:v>
      </x:c>
    </x:row>
    <x:row r="23" ht="23" customHeight="1">
      <x:c r="A23" s="2" t="str">
        <x:v>P00163</x:v>
      </x:c>
      <x:c r="B23" s="2" t="str">
        <x:v>INV00191</x:v>
      </x:c>
      <x:c r="C23" s="2" t="str">
        <x:v>C006</x:v>
      </x:c>
      <x:c r="D23" s="10" t="d">
        <x:v>2026-02-24T00:00:00.000Z</x:v>
      </x:c>
      <x:c r="E23" s="11" t="n">
        <x:v>6786.23</x:v>
      </x:c>
    </x:row>
    <x:row r="24" ht="23" customHeight="1">
      <x:c r="A24" s="2" t="str">
        <x:v>P00202</x:v>
      </x:c>
      <x:c r="B24" s="2" t="str">
        <x:v>INV00234</x:v>
      </x:c>
      <x:c r="C24" s="2" t="str">
        <x:v>C023</x:v>
      </x:c>
      <x:c r="D24" s="10" t="d">
        <x:v>2026-02-24T00:00:00.000Z</x:v>
      </x:c>
      <x:c r="E24" s="11" t="n">
        <x:v>6233.72</x:v>
      </x:c>
    </x:row>
    <x:row r="25" ht="23" customHeight="1">
      <x:c r="A25" s="2" t="str">
        <x:v>P00244</x:v>
      </x:c>
      <x:c r="B25" s="2" t="str">
        <x:v>INV00277</x:v>
      </x:c>
      <x:c r="C25" s="2" t="str">
        <x:v>C020</x:v>
      </x:c>
      <x:c r="D25" s="10" t="d">
        <x:v>2026-02-24T00:00:00.000Z</x:v>
      </x:c>
      <x:c r="E25" s="11" t="n">
        <x:v>12133.51</x:v>
      </x:c>
    </x:row>
    <x:row r="26" ht="23" customHeight="1">
      <x:c r="A26" s="2" t="str">
        <x:v>P00212</x:v>
      </x:c>
      <x:c r="B26" s="2" t="str">
        <x:v>INV00247</x:v>
      </x:c>
      <x:c r="C26" s="2" t="str">
        <x:v>C018</x:v>
      </x:c>
      <x:c r="D26" s="10" t="d">
        <x:v>2026-02-25T00:00:00.000Z</x:v>
      </x:c>
      <x:c r="E26" s="11" t="n">
        <x:v>2017.99</x:v>
      </x:c>
    </x:row>
    <x:row r="27" ht="23" customHeight="1">
      <x:c r="A27" s="2" t="str">
        <x:v>P00022</x:v>
      </x:c>
      <x:c r="B27" s="2" t="str">
        <x:v>INV00031</x:v>
      </x:c>
      <x:c r="C27" s="2" t="str">
        <x:v>C001</x:v>
      </x:c>
      <x:c r="D27" s="10" t="d">
        <x:v>2026-03-02T00:00:00.000Z</x:v>
      </x:c>
      <x:c r="E27" s="11" t="n">
        <x:v>5349.48</x:v>
      </x:c>
    </x:row>
    <x:row r="28" ht="23" customHeight="1">
      <x:c r="A28" s="2" t="str">
        <x:v>P00207</x:v>
      </x:c>
      <x:c r="B28" s="2" t="str">
        <x:v>INV00241</x:v>
      </x:c>
      <x:c r="C28" s="2" t="str">
        <x:v>C028</x:v>
      </x:c>
      <x:c r="D28" s="10" t="d">
        <x:v>2026-03-02T00:00:00.000Z</x:v>
      </x:c>
      <x:c r="E28" s="11" t="n">
        <x:v>3233.05</x:v>
      </x:c>
    </x:row>
    <x:row r="29" ht="23" customHeight="1">
      <x:c r="A29" s="2" t="str">
        <x:v>P00399</x:v>
      </x:c>
      <x:c r="B29" s="2" t="str">
        <x:v>INV00447</x:v>
      </x:c>
      <x:c r="C29" s="2" t="str">
        <x:v>C004</x:v>
      </x:c>
      <x:c r="D29" s="10" t="d">
        <x:v>2026-03-02T00:00:00.000Z</x:v>
      </x:c>
      <x:c r="E29" s="11" t="n">
        <x:v>12361.53</x:v>
      </x:c>
    </x:row>
    <x:row r="30" ht="23" customHeight="1">
      <x:c r="A30" s="2" t="str">
        <x:v>P00147</x:v>
      </x:c>
      <x:c r="B30" s="2" t="str">
        <x:v>INV00169</x:v>
      </x:c>
      <x:c r="C30" s="2" t="str">
        <x:v>C035</x:v>
      </x:c>
      <x:c r="D30" s="10" t="d">
        <x:v>2026-03-03T00:00:00.000Z</x:v>
      </x:c>
      <x:c r="E30" s="11" t="n">
        <x:v>9695.92</x:v>
      </x:c>
    </x:row>
    <x:row r="31" ht="23" customHeight="1">
      <x:c r="A31" s="2" t="str">
        <x:v>P00104</x:v>
      </x:c>
      <x:c r="B31" s="2" t="str">
        <x:v>INV00114</x:v>
      </x:c>
      <x:c r="C31" s="2" t="str">
        <x:v>C014</x:v>
      </x:c>
      <x:c r="D31" s="10" t="d">
        <x:v>2026-03-04T00:00:00.000Z</x:v>
      </x:c>
      <x:c r="E31" s="11" t="n">
        <x:v>10795.4</x:v>
      </x:c>
    </x:row>
    <x:row r="32" ht="23" customHeight="1">
      <x:c r="A32" s="2" t="str">
        <x:v>P00320</x:v>
      </x:c>
      <x:c r="B32" s="2" t="str">
        <x:v>INV00366</x:v>
      </x:c>
      <x:c r="C32" s="2" t="str">
        <x:v>C015</x:v>
      </x:c>
      <x:c r="D32" s="10" t="d">
        <x:v>2026-03-04T00:00:00.000Z</x:v>
      </x:c>
      <x:c r="E32" s="11" t="n">
        <x:v>10374.7</x:v>
      </x:c>
    </x:row>
    <x:row r="33" ht="23" customHeight="1">
      <x:c r="A33" s="2" t="str">
        <x:v>P00278</x:v>
      </x:c>
      <x:c r="B33" s="2" t="str">
        <x:v>INV00321</x:v>
      </x:c>
      <x:c r="C33" s="2" t="str">
        <x:v>C036</x:v>
      </x:c>
      <x:c r="D33" s="10" t="d">
        <x:v>2026-03-05T00:00:00.000Z</x:v>
      </x:c>
      <x:c r="E33" s="11" t="n">
        <x:v>15650.32</x:v>
      </x:c>
    </x:row>
    <x:row r="34" ht="23" customHeight="1">
      <x:c r="A34" s="2" t="str">
        <x:v>P00140</x:v>
      </x:c>
      <x:c r="B34" s="2" t="str">
        <x:v>INV00157</x:v>
      </x:c>
      <x:c r="C34" s="2" t="str">
        <x:v>C036</x:v>
      </x:c>
      <x:c r="D34" s="10" t="d">
        <x:v>2026-03-06T00:00:00.000Z</x:v>
      </x:c>
      <x:c r="E34" s="11" t="n">
        <x:v>19212.36</x:v>
      </x:c>
    </x:row>
    <x:row r="35" ht="23" customHeight="1">
      <x:c r="A35" s="2" t="str">
        <x:v>P00240</x:v>
      </x:c>
      <x:c r="B35" s="2" t="str">
        <x:v>INV00274</x:v>
      </x:c>
      <x:c r="C35" s="2" t="str">
        <x:v>C032</x:v>
      </x:c>
      <x:c r="D35" s="10" t="d">
        <x:v>2026-03-06T00:00:00.000Z</x:v>
      </x:c>
      <x:c r="E35" s="11" t="n">
        <x:v>5482.66</x:v>
      </x:c>
    </x:row>
    <x:row r="36" ht="23" customHeight="1">
      <x:c r="A36" s="2" t="str">
        <x:v>P00302</x:v>
      </x:c>
      <x:c r="B36" s="2" t="str">
        <x:v>INV00347</x:v>
      </x:c>
      <x:c r="C36" s="2" t="str">
        <x:v>C018</x:v>
      </x:c>
      <x:c r="D36" s="10" t="d">
        <x:v>2026-03-08T00:00:00.000Z</x:v>
      </x:c>
      <x:c r="E36" s="11" t="n">
        <x:v>9916.63</x:v>
      </x:c>
    </x:row>
    <x:row r="37" ht="23" customHeight="1">
      <x:c r="A37" s="2" t="str">
        <x:v>P00092</x:v>
      </x:c>
      <x:c r="B37" s="2" t="str">
        <x:v>INV00100</x:v>
      </x:c>
      <x:c r="C37" s="2" t="str">
        <x:v>C022</x:v>
      </x:c>
      <x:c r="D37" s="10" t="d">
        <x:v>2026-03-09T00:00:00.000Z</x:v>
      </x:c>
      <x:c r="E37" s="11" t="n">
        <x:v>6540.7</x:v>
      </x:c>
    </x:row>
    <x:row r="38" ht="23" customHeight="1">
      <x:c r="A38" s="2" t="str">
        <x:v>P00404</x:v>
      </x:c>
      <x:c r="B38" s="2" t="str">
        <x:v>INV00457</x:v>
      </x:c>
      <x:c r="C38" s="2" t="str">
        <x:v>C026</x:v>
      </x:c>
      <x:c r="D38" s="10" t="d">
        <x:v>2026-03-09T00:00:00.000Z</x:v>
      </x:c>
      <x:c r="E38" s="11" t="n">
        <x:v>18214.27</x:v>
      </x:c>
    </x:row>
    <x:row r="39" ht="23" customHeight="1">
      <x:c r="A39" s="2" t="str">
        <x:v>P00128</x:v>
      </x:c>
      <x:c r="B39" s="2" t="str">
        <x:v>INV00144</x:v>
      </x:c>
      <x:c r="C39" s="2" t="str">
        <x:v>C012</x:v>
      </x:c>
      <x:c r="D39" s="10" t="d">
        <x:v>2026-03-11T00:00:00.000Z</x:v>
      </x:c>
      <x:c r="E39" s="11" t="n">
        <x:v>1916.4</x:v>
      </x:c>
    </x:row>
    <x:row r="40" ht="23" customHeight="1">
      <x:c r="A40" s="2" t="str">
        <x:v>P00170</x:v>
      </x:c>
      <x:c r="B40" s="2" t="str">
        <x:v>INV00198</x:v>
      </x:c>
      <x:c r="C40" s="2" t="str">
        <x:v>C009</x:v>
      </x:c>
      <x:c r="D40" s="10" t="d">
        <x:v>2026-03-11T00:00:00.000Z</x:v>
      </x:c>
      <x:c r="E40" s="11" t="n">
        <x:v>8976.19</x:v>
      </x:c>
    </x:row>
    <x:row r="41" ht="23" customHeight="1">
      <x:c r="A41" s="2" t="str">
        <x:v>P00306</x:v>
      </x:c>
      <x:c r="B41" s="2" t="str">
        <x:v>INV00351</x:v>
      </x:c>
      <x:c r="C41" s="2" t="str">
        <x:v>C019</x:v>
      </x:c>
      <x:c r="D41" s="10" t="d">
        <x:v>2026-03-11T00:00:00.000Z</x:v>
      </x:c>
      <x:c r="E41" s="11" t="n">
        <x:v>1239.72</x:v>
      </x:c>
    </x:row>
    <x:row r="42" ht="23" customHeight="1">
      <x:c r="A42" s="2" t="str">
        <x:v>P00191</x:v>
      </x:c>
      <x:c r="B42" s="2" t="str">
        <x:v>INV00219</x:v>
      </x:c>
      <x:c r="C42" s="2" t="str">
        <x:v>C024</x:v>
      </x:c>
      <x:c r="D42" s="10" t="d">
        <x:v>2026-03-12T00:00:00.000Z</x:v>
      </x:c>
      <x:c r="E42" s="11" t="n">
        <x:v>18319</x:v>
      </x:c>
    </x:row>
    <x:row r="43" ht="23" customHeight="1">
      <x:c r="A43" s="2" t="str">
        <x:v>P00245</x:v>
      </x:c>
      <x:c r="B43" s="2" t="str">
        <x:v>INV00278</x:v>
      </x:c>
      <x:c r="C43" s="2" t="str">
        <x:v>C039</x:v>
      </x:c>
      <x:c r="D43" s="10" t="d">
        <x:v>2026-03-15T00:00:00.000Z</x:v>
      </x:c>
      <x:c r="E43" s="11" t="n">
        <x:v>6594.58</x:v>
      </x:c>
    </x:row>
    <x:row r="44" ht="23" customHeight="1">
      <x:c r="A44" s="2" t="str">
        <x:v>P00372</x:v>
      </x:c>
      <x:c r="B44" s="2" t="str">
        <x:v>INV00419</x:v>
      </x:c>
      <x:c r="C44" s="2" t="str">
        <x:v>C032</x:v>
      </x:c>
      <x:c r="D44" s="10" t="d">
        <x:v>2026-03-15T00:00:00.000Z</x:v>
      </x:c>
      <x:c r="E44" s="11" t="n">
        <x:v>18104.31</x:v>
      </x:c>
    </x:row>
    <x:row r="45" ht="23" customHeight="1">
      <x:c r="A45" s="2" t="str">
        <x:v>P00225</x:v>
      </x:c>
      <x:c r="B45" s="2" t="str">
        <x:v>INV00262</x:v>
      </x:c>
      <x:c r="C45" s="2" t="str">
        <x:v>C008</x:v>
      </x:c>
      <x:c r="D45" s="10" t="d">
        <x:v>2026-03-16T00:00:00.000Z</x:v>
      </x:c>
      <x:c r="E45" s="11" t="n">
        <x:v>4034.08</x:v>
      </x:c>
    </x:row>
    <x:row r="46" ht="23" customHeight="1">
      <x:c r="A46" s="2" t="str">
        <x:v>P00409</x:v>
      </x:c>
      <x:c r="B46" s="2" t="str">
        <x:v>INV00464</x:v>
      </x:c>
      <x:c r="C46" s="2" t="str">
        <x:v>C022</x:v>
      </x:c>
      <x:c r="D46" s="10" t="d">
        <x:v>2026-03-17T00:00:00.000Z</x:v>
      </x:c>
      <x:c r="E46" s="11" t="n">
        <x:v>11814.49</x:v>
      </x:c>
    </x:row>
    <x:row r="47" ht="23" customHeight="1">
      <x:c r="A47" s="2" t="str">
        <x:v>P00035</x:v>
      </x:c>
      <x:c r="B47" s="2" t="str">
        <x:v>INV00045</x:v>
      </x:c>
      <x:c r="C47" s="2" t="str">
        <x:v>C016</x:v>
      </x:c>
      <x:c r="D47" s="10" t="d">
        <x:v>2026-03-18T00:00:00.000Z</x:v>
      </x:c>
      <x:c r="E47" s="11" t="n">
        <x:v>12339.29</x:v>
      </x:c>
    </x:row>
    <x:row r="48" ht="23" customHeight="1">
      <x:c r="A48" s="2" t="str">
        <x:v>P00185</x:v>
      </x:c>
      <x:c r="B48" s="2" t="str">
        <x:v>INV00215</x:v>
      </x:c>
      <x:c r="C48" s="2" t="str">
        <x:v>C011</x:v>
      </x:c>
      <x:c r="D48" s="10" t="d">
        <x:v>2026-03-18T00:00:00.000Z</x:v>
      </x:c>
      <x:c r="E48" s="11" t="n">
        <x:v>3518.69</x:v>
      </x:c>
    </x:row>
    <x:row r="49" ht="23" customHeight="1">
      <x:c r="A49" s="2" t="str">
        <x:v>P00087</x:v>
      </x:c>
      <x:c r="B49" s="2" t="str">
        <x:v>INV00096</x:v>
      </x:c>
      <x:c r="C49" s="2" t="str">
        <x:v>C039</x:v>
      </x:c>
      <x:c r="D49" s="10" t="d">
        <x:v>2026-03-19T00:00:00.000Z</x:v>
      </x:c>
      <x:c r="E49" s="11" t="n">
        <x:v>1748.27</x:v>
      </x:c>
    </x:row>
    <x:row r="50" ht="23" customHeight="1">
      <x:c r="A50" s="2" t="str">
        <x:v>P00193</x:v>
      </x:c>
      <x:c r="B50" s="2" t="str">
        <x:v>INV00222</x:v>
      </x:c>
      <x:c r="C50" s="2" t="str">
        <x:v>C015</x:v>
      </x:c>
      <x:c r="D50" s="10" t="d">
        <x:v>2026-03-19T00:00:00.000Z</x:v>
      </x:c>
      <x:c r="E50" s="11" t="n">
        <x:v>12472.65</x:v>
      </x:c>
    </x:row>
    <x:row r="51" ht="23" customHeight="1">
      <x:c r="A51" s="2" t="str">
        <x:v>P00280</x:v>
      </x:c>
      <x:c r="B51" s="2" t="str">
        <x:v>INV00324</x:v>
      </x:c>
      <x:c r="C51" s="2" t="str">
        <x:v>C019</x:v>
      </x:c>
      <x:c r="D51" s="10" t="d">
        <x:v>2026-03-19T00:00:00.000Z</x:v>
      </x:c>
      <x:c r="E51" s="11" t="n">
        <x:v>3468.6</x:v>
      </x:c>
    </x:row>
    <x:row r="52" ht="23" customHeight="1">
      <x:c r="A52" s="2" t="str">
        <x:v>P00226</x:v>
      </x:c>
      <x:c r="B52" s="2" t="str">
        <x:v>INV00263</x:v>
      </x:c>
      <x:c r="C52" s="2" t="str">
        <x:v>C039</x:v>
      </x:c>
      <x:c r="D52" s="10" t="d">
        <x:v>2026-03-22T00:00:00.000Z</x:v>
      </x:c>
      <x:c r="E52" s="11" t="n">
        <x:v>6241.83</x:v>
      </x:c>
    </x:row>
    <x:row r="53" ht="23" customHeight="1">
      <x:c r="A53" s="2" t="str">
        <x:v>P00271</x:v>
      </x:c>
      <x:c r="B53" s="2" t="str">
        <x:v>INV00315</x:v>
      </x:c>
      <x:c r="C53" s="2" t="str">
        <x:v>C009</x:v>
      </x:c>
      <x:c r="D53" s="10" t="d">
        <x:v>2026-03-23T00:00:00.000Z</x:v>
      </x:c>
      <x:c r="E53" s="11" t="n">
        <x:v>339.11</x:v>
      </x:c>
    </x:row>
    <x:row r="54" ht="23" customHeight="1">
      <x:c r="A54" s="2" t="str">
        <x:v>P00088</x:v>
      </x:c>
      <x:c r="B54" s="2" t="str">
        <x:v>INV00097</x:v>
      </x:c>
      <x:c r="C54" s="2" t="str">
        <x:v>C027</x:v>
      </x:c>
      <x:c r="D54" s="10" t="d">
        <x:v>2026-03-24T00:00:00.000Z</x:v>
      </x:c>
      <x:c r="E54" s="11" t="n">
        <x:v>11955.56</x:v>
      </x:c>
    </x:row>
    <x:row r="55" ht="23" customHeight="1">
      <x:c r="A55" s="2" t="str">
        <x:v>P00416</x:v>
      </x:c>
      <x:c r="B55" s="2" t="str">
        <x:v>INV00470</x:v>
      </x:c>
      <x:c r="C55" s="2" t="str">
        <x:v>C027</x:v>
      </x:c>
      <x:c r="D55" s="10" t="d">
        <x:v>2026-03-24T00:00:00.000Z</x:v>
      </x:c>
      <x:c r="E55" s="11" t="n">
        <x:v>14838.47</x:v>
      </x:c>
    </x:row>
    <x:row r="56" ht="23" customHeight="1">
      <x:c r="A56" s="2" t="str">
        <x:v>P00090</x:v>
      </x:c>
      <x:c r="B56" s="2" t="str">
        <x:v>INV00099</x:v>
      </x:c>
      <x:c r="C56" s="2" t="str">
        <x:v>C013</x:v>
      </x:c>
      <x:c r="D56" s="10" t="d">
        <x:v>2026-03-26T00:00:00.000Z</x:v>
      </x:c>
      <x:c r="E56" s="11" t="n">
        <x:v>5393.25</x:v>
      </x:c>
    </x:row>
    <x:row r="57" ht="23" customHeight="1">
      <x:c r="A57" s="2" t="str">
        <x:v>P00021</x:v>
      </x:c>
      <x:c r="B57" s="2" t="str">
        <x:v>INV00029</x:v>
      </x:c>
      <x:c r="C57" s="2" t="str">
        <x:v>C021</x:v>
      </x:c>
      <x:c r="D57" s="10" t="d">
        <x:v>2026-03-27T00:00:00.000Z</x:v>
      </x:c>
      <x:c r="E57" s="11" t="n">
        <x:v>4205.66</x:v>
      </x:c>
    </x:row>
    <x:row r="58" ht="23" customHeight="1">
      <x:c r="A58" s="2" t="str">
        <x:v>P00351</x:v>
      </x:c>
      <x:c r="B58" s="2" t="str">
        <x:v>INV00393</x:v>
      </x:c>
      <x:c r="C58" s="2" t="str">
        <x:v>C030</x:v>
      </x:c>
      <x:c r="D58" s="10" t="d">
        <x:v>2026-03-27T00:00:00.000Z</x:v>
      </x:c>
      <x:c r="E58" s="11" t="n">
        <x:v>1083.37</x:v>
      </x:c>
    </x:row>
    <x:row r="59" ht="23" customHeight="1">
      <x:c r="A59" s="2" t="str">
        <x:v>P00217</x:v>
      </x:c>
      <x:c r="B59" s="2" t="str">
        <x:v>INV00253</x:v>
      </x:c>
      <x:c r="C59" s="2" t="str">
        <x:v>C024</x:v>
      </x:c>
      <x:c r="D59" s="10" t="d">
        <x:v>2026-03-28T00:00:00.000Z</x:v>
      </x:c>
      <x:c r="E59" s="11" t="n">
        <x:v>12147.86</x:v>
      </x:c>
    </x:row>
    <x:row r="60" ht="23" customHeight="1">
      <x:c r="A60" s="2" t="str">
        <x:v>P00052</x:v>
      </x:c>
      <x:c r="B60" s="2" t="str">
        <x:v>INV00060</x:v>
      </x:c>
      <x:c r="C60" s="2" t="str">
        <x:v>C036</x:v>
      </x:c>
      <x:c r="D60" s="10" t="d">
        <x:v>2026-03-29T00:00:00.000Z</x:v>
      </x:c>
      <x:c r="E60" s="11" t="n">
        <x:v>11874.02</x:v>
      </x:c>
    </x:row>
    <x:row r="61" ht="23" customHeight="1">
      <x:c r="A61" s="2" t="str">
        <x:v>P00279</x:v>
      </x:c>
      <x:c r="B61" s="2" t="str">
        <x:v>INV00322</x:v>
      </x:c>
      <x:c r="C61" s="2" t="str">
        <x:v>C008</x:v>
      </x:c>
      <x:c r="D61" s="10" t="d">
        <x:v>2026-03-29T00:00:00.000Z</x:v>
      </x:c>
      <x:c r="E61" s="11" t="n">
        <x:v>16063.32</x:v>
      </x:c>
    </x:row>
    <x:row r="62" ht="23" customHeight="1">
      <x:c r="A62" s="2" t="str">
        <x:v>P00311</x:v>
      </x:c>
      <x:c r="B62" s="2" t="str">
        <x:v>INV00358</x:v>
      </x:c>
      <x:c r="C62" s="2" t="str">
        <x:v>C023</x:v>
      </x:c>
      <x:c r="D62" s="10" t="d">
        <x:v>2026-03-29T00:00:00.000Z</x:v>
      </x:c>
      <x:c r="E62" s="11" t="n">
        <x:v>6424.46</x:v>
      </x:c>
    </x:row>
    <x:row r="63" ht="23" customHeight="1">
      <x:c r="A63" s="2" t="str">
        <x:v>P00374</x:v>
      </x:c>
      <x:c r="B63" s="2" t="str">
        <x:v>INV00422</x:v>
      </x:c>
      <x:c r="C63" s="2" t="str">
        <x:v>C020</x:v>
      </x:c>
      <x:c r="D63" s="10" t="d">
        <x:v>2026-03-30T00:00:00.000Z</x:v>
      </x:c>
      <x:c r="E63" s="11" t="n">
        <x:v>3873.35</x:v>
      </x:c>
    </x:row>
    <x:row r="64" ht="23" customHeight="1">
      <x:c r="A64" s="2" t="str">
        <x:v>P00098</x:v>
      </x:c>
      <x:c r="B64" s="2" t="str">
        <x:v>INV00107</x:v>
      </x:c>
      <x:c r="C64" s="2" t="str">
        <x:v>C019</x:v>
      </x:c>
      <x:c r="D64" s="10" t="d">
        <x:v>2026-03-31T00:00:00.000Z</x:v>
      </x:c>
      <x:c r="E64" s="11" t="n">
        <x:v>1313.48</x:v>
      </x:c>
    </x:row>
    <x:row r="65" ht="23" customHeight="1">
      <x:c r="A65" s="2" t="str">
        <x:v>P00141</x:v>
      </x:c>
      <x:c r="B65" s="2" t="str">
        <x:v>INV00159</x:v>
      </x:c>
      <x:c r="C65" s="2" t="str">
        <x:v>C033</x:v>
      </x:c>
      <x:c r="D65" s="10" t="d">
        <x:v>2026-03-31T00:00:00.000Z</x:v>
      </x:c>
      <x:c r="E65" s="11" t="n">
        <x:v>11569.78</x:v>
      </x:c>
    </x:row>
    <x:row r="66" ht="23" customHeight="1">
      <x:c r="A66" s="2" t="str">
        <x:v>P00184</x:v>
      </x:c>
      <x:c r="B66" s="2" t="str">
        <x:v>INV00214</x:v>
      </x:c>
      <x:c r="C66" s="2" t="str">
        <x:v>C008</x:v>
      </x:c>
      <x:c r="D66" s="10" t="d">
        <x:v>2026-03-31T00:00:00.000Z</x:v>
      </x:c>
      <x:c r="E66" s="11" t="n">
        <x:v>5143.45</x:v>
      </x:c>
    </x:row>
    <x:row r="67" ht="23" customHeight="1">
      <x:c r="A67" s="2" t="str">
        <x:v>P00378</x:v>
      </x:c>
      <x:c r="B67" s="2" t="str">
        <x:v>INV00427</x:v>
      </x:c>
      <x:c r="C67" s="2" t="str">
        <x:v>C002</x:v>
      </x:c>
      <x:c r="D67" s="10" t="d">
        <x:v>2026-04-01T00:00:00.000Z</x:v>
      </x:c>
      <x:c r="E67" s="11" t="n">
        <x:v>7740.04</x:v>
      </x:c>
    </x:row>
    <x:row r="68" ht="23" customHeight="1">
      <x:c r="A68" s="2" t="str">
        <x:v>P00353</x:v>
      </x:c>
      <x:c r="B68" s="2" t="str">
        <x:v>INV00395</x:v>
      </x:c>
      <x:c r="C68" s="2" t="str">
        <x:v>C032</x:v>
      </x:c>
      <x:c r="D68" s="10" t="d">
        <x:v>2026-04-02T00:00:00.000Z</x:v>
      </x:c>
      <x:c r="E68" s="11" t="n">
        <x:v>3276.16</x:v>
      </x:c>
    </x:row>
    <x:row r="69" ht="23" customHeight="1">
      <x:c r="A69" s="2" t="str">
        <x:v>P00369</x:v>
      </x:c>
      <x:c r="B69" s="2" t="str">
        <x:v>INV00414</x:v>
      </x:c>
      <x:c r="C69" s="2" t="str">
        <x:v>C039</x:v>
      </x:c>
      <x:c r="D69" s="10" t="d">
        <x:v>2026-04-02T00:00:00.000Z</x:v>
      </x:c>
      <x:c r="E69" s="11" t="n">
        <x:v>14292.95</x:v>
      </x:c>
    </x:row>
    <x:row r="70" ht="23" customHeight="1">
      <x:c r="A70" s="2" t="str">
        <x:v>P00375</x:v>
      </x:c>
      <x:c r="B70" s="2" t="str">
        <x:v>INV00424</x:v>
      </x:c>
      <x:c r="C70" s="2" t="str">
        <x:v>C011</x:v>
      </x:c>
      <x:c r="D70" s="10" t="d">
        <x:v>2026-04-02T00:00:00.000Z</x:v>
      </x:c>
      <x:c r="E70" s="11" t="n">
        <x:v>12965.11</x:v>
      </x:c>
    </x:row>
    <x:row r="71" ht="23" customHeight="1">
      <x:c r="A71" s="2" t="str">
        <x:v>P00063</x:v>
      </x:c>
      <x:c r="B71" s="2" t="str">
        <x:v>INV00073</x:v>
      </x:c>
      <x:c r="C71" s="2" t="str">
        <x:v>C010</x:v>
      </x:c>
      <x:c r="D71" s="10" t="d">
        <x:v>2026-04-03T00:00:00.000Z</x:v>
      </x:c>
      <x:c r="E71" s="11" t="n">
        <x:v>5090.99</x:v>
      </x:c>
    </x:row>
    <x:row r="72" ht="23" customHeight="1">
      <x:c r="A72" s="2" t="str">
        <x:v>P00384</x:v>
      </x:c>
      <x:c r="B72" s="2" t="str">
        <x:v>INV00431</x:v>
      </x:c>
      <x:c r="C72" s="2" t="str">
        <x:v>C004</x:v>
      </x:c>
      <x:c r="D72" s="10" t="d">
        <x:v>2026-04-03T00:00:00.000Z</x:v>
      </x:c>
      <x:c r="E72" s="11" t="n">
        <x:v>12434.83</x:v>
      </x:c>
    </x:row>
    <x:row r="73" ht="23" customHeight="1">
      <x:c r="A73" s="2" t="str">
        <x:v>P00124</x:v>
      </x:c>
      <x:c r="B73" s="2" t="str">
        <x:v>INV00142</x:v>
      </x:c>
      <x:c r="C73" s="2" t="str">
        <x:v>C005</x:v>
      </x:c>
      <x:c r="D73" s="10" t="d">
        <x:v>2026-04-06T00:00:00.000Z</x:v>
      </x:c>
      <x:c r="E73" s="11" t="n">
        <x:v>3433.99</x:v>
      </x:c>
    </x:row>
    <x:row r="74" ht="23" customHeight="1">
      <x:c r="A74" s="2" t="str">
        <x:v>P00133</x:v>
      </x:c>
      <x:c r="B74" s="2" t="str">
        <x:v>INV00147</x:v>
      </x:c>
      <x:c r="C74" s="2" t="str">
        <x:v>C021</x:v>
      </x:c>
      <x:c r="D74" s="10" t="d">
        <x:v>2026-04-06T00:00:00.000Z</x:v>
      </x:c>
      <x:c r="E74" s="11" t="n">
        <x:v>11303.17</x:v>
      </x:c>
    </x:row>
    <x:row r="75" ht="23" customHeight="1">
      <x:c r="A75" s="2" t="str">
        <x:v>P00007</x:v>
      </x:c>
      <x:c r="B75" s="2" t="str">
        <x:v>INV00012</x:v>
      </x:c>
      <x:c r="C75" s="2" t="str">
        <x:v>C021</x:v>
      </x:c>
      <x:c r="D75" s="10" t="d">
        <x:v>2026-04-07T00:00:00.000Z</x:v>
      </x:c>
      <x:c r="E75" s="11" t="n">
        <x:v>5877.42</x:v>
      </x:c>
    </x:row>
    <x:row r="76" ht="23" customHeight="1">
      <x:c r="A76" s="2" t="str">
        <x:v>P00343</x:v>
      </x:c>
      <x:c r="B76" s="2" t="str">
        <x:v>INV00387</x:v>
      </x:c>
      <x:c r="C76" s="2" t="str">
        <x:v>C018</x:v>
      </x:c>
      <x:c r="D76" s="10" t="d">
        <x:v>2026-04-07T00:00:00.000Z</x:v>
      </x:c>
      <x:c r="E76" s="11" t="n">
        <x:v>8137.55</x:v>
      </x:c>
    </x:row>
    <x:row r="77" ht="23" customHeight="1">
      <x:c r="A77" s="2" t="str">
        <x:v>P00390</x:v>
      </x:c>
      <x:c r="B77" s="2" t="str">
        <x:v>INV00436</x:v>
      </x:c>
      <x:c r="C77" s="2" t="str">
        <x:v>C006</x:v>
      </x:c>
      <x:c r="D77" s="10" t="d">
        <x:v>2026-04-07T00:00:00.000Z</x:v>
      </x:c>
      <x:c r="E77" s="11" t="n">
        <x:v>2275.37</x:v>
      </x:c>
    </x:row>
    <x:row r="78" ht="23" customHeight="1">
      <x:c r="A78" s="2" t="str">
        <x:v>P00177</x:v>
      </x:c>
      <x:c r="B78" s="2" t="str">
        <x:v>INV00206</x:v>
      </x:c>
      <x:c r="C78" s="2" t="str">
        <x:v>C033</x:v>
      </x:c>
      <x:c r="D78" s="10" t="d">
        <x:v>2026-04-08T00:00:00.000Z</x:v>
      </x:c>
      <x:c r="E78" s="11" t="n">
        <x:v>8812.55</x:v>
      </x:c>
    </x:row>
    <x:row r="79" ht="23" customHeight="1">
      <x:c r="A79" s="2" t="str">
        <x:v>P00211</x:v>
      </x:c>
      <x:c r="B79" s="2" t="str">
        <x:v>INV00246</x:v>
      </x:c>
      <x:c r="C79" s="2" t="str">
        <x:v>C022</x:v>
      </x:c>
      <x:c r="D79" s="10" t="d">
        <x:v>2026-04-08T00:00:00.000Z</x:v>
      </x:c>
      <x:c r="E79" s="11" t="n">
        <x:v>15907.83</x:v>
      </x:c>
    </x:row>
    <x:row r="80" ht="23" customHeight="1">
      <x:c r="A80" s="2" t="str">
        <x:v>P00313</x:v>
      </x:c>
      <x:c r="B80" s="2" t="str">
        <x:v>INV00359</x:v>
      </x:c>
      <x:c r="C80" s="2" t="str">
        <x:v>C006</x:v>
      </x:c>
      <x:c r="D80" s="10" t="d">
        <x:v>2026-04-08T00:00:00.000Z</x:v>
      </x:c>
      <x:c r="E80" s="11" t="n">
        <x:v>6252.45</x:v>
      </x:c>
    </x:row>
    <x:row r="81" ht="23" customHeight="1">
      <x:c r="A81" s="2" t="str">
        <x:v>P00283</x:v>
      </x:c>
      <x:c r="B81" s="2" t="str">
        <x:v>INV00328</x:v>
      </x:c>
      <x:c r="C81" s="2" t="str">
        <x:v>C026</x:v>
      </x:c>
      <x:c r="D81" s="10" t="d">
        <x:v>2026-04-09T00:00:00.000Z</x:v>
      </x:c>
      <x:c r="E81" s="11" t="n">
        <x:v>5902.74</x:v>
      </x:c>
    </x:row>
    <x:row r="82" ht="23" customHeight="1">
      <x:c r="A82" s="2" t="str">
        <x:v>P00358</x:v>
      </x:c>
      <x:c r="B82" s="2" t="str">
        <x:v>INV00400</x:v>
      </x:c>
      <x:c r="C82" s="2" t="str">
        <x:v>C018</x:v>
      </x:c>
      <x:c r="D82" s="10" t="d">
        <x:v>2026-04-11T00:00:00.000Z</x:v>
      </x:c>
      <x:c r="E82" s="11" t="n">
        <x:v>5978.14</x:v>
      </x:c>
    </x:row>
    <x:row r="83" ht="23" customHeight="1">
      <x:c r="A83" s="2" t="str">
        <x:v>P00282</x:v>
      </x:c>
      <x:c r="B83" s="2" t="str">
        <x:v>INV00326</x:v>
      </x:c>
      <x:c r="C83" s="2" t="str">
        <x:v>C004</x:v>
      </x:c>
      <x:c r="D83" s="10" t="d">
        <x:v>2026-04-12T00:00:00.000Z</x:v>
      </x:c>
      <x:c r="E83" s="11" t="n">
        <x:v>10774.43</x:v>
      </x:c>
    </x:row>
    <x:row r="84" ht="23" customHeight="1">
      <x:c r="A84" s="2" t="str">
        <x:v>P00329</x:v>
      </x:c>
      <x:c r="B84" s="2" t="str">
        <x:v>INV00374</x:v>
      </x:c>
      <x:c r="C84" s="2" t="str">
        <x:v>C004</x:v>
      </x:c>
      <x:c r="D84" s="10" t="d">
        <x:v>2026-04-12T00:00:00.000Z</x:v>
      </x:c>
      <x:c r="E84" s="11" t="n">
        <x:v>12297.93</x:v>
      </x:c>
    </x:row>
    <x:row r="85" ht="23" customHeight="1">
      <x:c r="A85" s="2" t="str">
        <x:v>P00072</x:v>
      </x:c>
      <x:c r="B85" s="2" t="str">
        <x:v>INV00081</x:v>
      </x:c>
      <x:c r="C85" s="2" t="str">
        <x:v>C035</x:v>
      </x:c>
      <x:c r="D85" s="10" t="d">
        <x:v>2026-04-13T00:00:00.000Z</x:v>
      </x:c>
      <x:c r="E85" s="11" t="n">
        <x:v>1480.76</x:v>
      </x:c>
    </x:row>
    <x:row r="86" ht="23" customHeight="1">
      <x:c r="A86" s="2" t="str">
        <x:v>P00136</x:v>
      </x:c>
      <x:c r="B86" s="2" t="str">
        <x:v>INV00151</x:v>
      </x:c>
      <x:c r="C86" s="2" t="str">
        <x:v>C039</x:v>
      </x:c>
      <x:c r="D86" s="10" t="d">
        <x:v>2026-04-13T00:00:00.000Z</x:v>
      </x:c>
      <x:c r="E86" s="11" t="n">
        <x:v>4784.74</x:v>
      </x:c>
    </x:row>
    <x:row r="87" ht="23" customHeight="1">
      <x:c r="A87" s="2" t="str">
        <x:v>P00259</x:v>
      </x:c>
      <x:c r="B87" s="2" t="str">
        <x:v>INV00298</x:v>
      </x:c>
      <x:c r="C87" s="2" t="str">
        <x:v>C020</x:v>
      </x:c>
      <x:c r="D87" s="10" t="d">
        <x:v>2026-04-13T00:00:00.000Z</x:v>
      </x:c>
      <x:c r="E87" s="11" t="n">
        <x:v>15935.73</x:v>
      </x:c>
    </x:row>
    <x:row r="88" ht="23" customHeight="1">
      <x:c r="A88" s="2" t="str">
        <x:v>P00295</x:v>
      </x:c>
      <x:c r="B88" s="2" t="str">
        <x:v>INV00342</x:v>
      </x:c>
      <x:c r="C88" s="2" t="str">
        <x:v>C007</x:v>
      </x:c>
      <x:c r="D88" s="10" t="d">
        <x:v>2026-04-14T00:00:00.000Z</x:v>
      </x:c>
      <x:c r="E88" s="11" t="n">
        <x:v>3082.04</x:v>
      </x:c>
    </x:row>
    <x:row r="89" ht="23" customHeight="1">
      <x:c r="A89" s="2" t="str">
        <x:v>P00162</x:v>
      </x:c>
      <x:c r="B89" s="2" t="str">
        <x:v>INV00190</x:v>
      </x:c>
      <x:c r="C89" s="2" t="str">
        <x:v>C037</x:v>
      </x:c>
      <x:c r="D89" s="10" t="d">
        <x:v>2026-04-15T00:00:00.000Z</x:v>
      </x:c>
      <x:c r="E89" s="11" t="n">
        <x:v>8949.42</x:v>
      </x:c>
    </x:row>
    <x:row r="90" ht="23" customHeight="1">
      <x:c r="A90" s="2" t="str">
        <x:v>P00293</x:v>
      </x:c>
      <x:c r="B90" s="2" t="str">
        <x:v>INV00341</x:v>
      </x:c>
      <x:c r="C90" s="2" t="str">
        <x:v>C002</x:v>
      </x:c>
      <x:c r="D90" s="10" t="d">
        <x:v>2026-04-15T00:00:00.000Z</x:v>
      </x:c>
      <x:c r="E90" s="11" t="n">
        <x:v>2043.04</x:v>
      </x:c>
    </x:row>
    <x:row r="91" ht="23" customHeight="1">
      <x:c r="A91" s="2" t="str">
        <x:v>P00393</x:v>
      </x:c>
      <x:c r="B91" s="2" t="str">
        <x:v>INV00438</x:v>
      </x:c>
      <x:c r="C91" s="2" t="str">
        <x:v>C028</x:v>
      </x:c>
      <x:c r="D91" s="10" t="d">
        <x:v>2026-04-16T00:00:00.000Z</x:v>
      </x:c>
      <x:c r="E91" s="11" t="n">
        <x:v>2191.91</x:v>
      </x:c>
    </x:row>
    <x:row r="92" ht="23" customHeight="1">
      <x:c r="A92" s="2" t="str">
        <x:v>P00085</x:v>
      </x:c>
      <x:c r="B92" s="2" t="str">
        <x:v>INV00094</x:v>
      </x:c>
      <x:c r="C92" s="2" t="str">
        <x:v>C004</x:v>
      </x:c>
      <x:c r="D92" s="10" t="d">
        <x:v>2026-04-17T00:00:00.000Z</x:v>
      </x:c>
      <x:c r="E92" s="11" t="n">
        <x:v>1719.34</x:v>
      </x:c>
    </x:row>
    <x:row r="93" ht="23" customHeight="1">
      <x:c r="A93" s="2" t="str">
        <x:v>P00164</x:v>
      </x:c>
      <x:c r="B93" s="2" t="str">
        <x:v>INV00191</x:v>
      </x:c>
      <x:c r="C93" s="2" t="str">
        <x:v>C006</x:v>
      </x:c>
      <x:c r="D93" s="10" t="d">
        <x:v>2026-04-17T00:00:00.000Z</x:v>
      </x:c>
      <x:c r="E93" s="11" t="n">
        <x:v>4524.15</x:v>
      </x:c>
    </x:row>
    <x:row r="94" ht="23" customHeight="1">
      <x:c r="A94" s="2" t="str">
        <x:v>P00256</x:v>
      </x:c>
      <x:c r="B94" s="2" t="str">
        <x:v>INV00295</x:v>
      </x:c>
      <x:c r="C94" s="2" t="str">
        <x:v>C017</x:v>
      </x:c>
      <x:c r="D94" s="10" t="d">
        <x:v>2026-04-17T00:00:00.000Z</x:v>
      </x:c>
      <x:c r="E94" s="11" t="n">
        <x:v>967.43</x:v>
      </x:c>
    </x:row>
    <x:row r="95" ht="23" customHeight="1">
      <x:c r="A95" s="2" t="str">
        <x:v>P00345</x:v>
      </x:c>
      <x:c r="B95" s="2" t="str">
        <x:v>INV00389</x:v>
      </x:c>
      <x:c r="C95" s="2" t="str">
        <x:v>C034</x:v>
      </x:c>
      <x:c r="D95" s="10" t="d">
        <x:v>2026-04-17T00:00:00.000Z</x:v>
      </x:c>
      <x:c r="E95" s="11" t="n">
        <x:v>14044.93</x:v>
      </x:c>
    </x:row>
    <x:row r="96" ht="23" customHeight="1">
      <x:c r="A96" s="2" t="str">
        <x:v>P00385</x:v>
      </x:c>
      <x:c r="B96" s="2" t="str">
        <x:v>INV00432</x:v>
      </x:c>
      <x:c r="C96" s="2" t="str">
        <x:v>C008</x:v>
      </x:c>
      <x:c r="D96" s="10" t="d">
        <x:v>2026-04-17T00:00:00.000Z</x:v>
      </x:c>
      <x:c r="E96" s="11" t="n">
        <x:v>13585.15</x:v>
      </x:c>
    </x:row>
    <x:row r="97" ht="23" customHeight="1">
      <x:c r="A97" s="2" t="str">
        <x:v>P00047</x:v>
      </x:c>
      <x:c r="B97" s="2" t="str">
        <x:v>INV00056</x:v>
      </x:c>
      <x:c r="C97" s="2" t="str">
        <x:v>C006</x:v>
      </x:c>
      <x:c r="D97" s="10" t="d">
        <x:v>2026-04-18T00:00:00.000Z</x:v>
      </x:c>
      <x:c r="E97" s="11" t="n">
        <x:v>2357.94</x:v>
      </x:c>
    </x:row>
    <x:row r="98" ht="23" customHeight="1">
      <x:c r="A98" s="2" t="str">
        <x:v>P00307</x:v>
      </x:c>
      <x:c r="B98" s="2" t="str">
        <x:v>INV00351</x:v>
      </x:c>
      <x:c r="C98" s="2" t="str">
        <x:v>C019</x:v>
      </x:c>
      <x:c r="D98" s="10" t="d">
        <x:v>2026-04-18T00:00:00.000Z</x:v>
      </x:c>
      <x:c r="E98" s="11" t="n">
        <x:v>826.48</x:v>
      </x:c>
    </x:row>
    <x:row r="99" ht="23" customHeight="1">
      <x:c r="A99" s="2" t="str">
        <x:v>P00322</x:v>
      </x:c>
      <x:c r="B99" s="2" t="str">
        <x:v>INV00368</x:v>
      </x:c>
      <x:c r="C99" s="2" t="str">
        <x:v>C011</x:v>
      </x:c>
      <x:c r="D99" s="10" t="d">
        <x:v>2026-04-18T00:00:00.000Z</x:v>
      </x:c>
      <x:c r="E99" s="11" t="n">
        <x:v>6560.02</x:v>
      </x:c>
    </x:row>
    <x:row r="100" ht="23" customHeight="1">
      <x:c r="A100" s="2" t="str">
        <x:v>P00111</x:v>
      </x:c>
      <x:c r="B100" s="2" t="str">
        <x:v>INV00122</x:v>
      </x:c>
      <x:c r="C100" s="2" t="str">
        <x:v>C027</x:v>
      </x:c>
      <x:c r="D100" s="10" t="d">
        <x:v>2026-04-20T00:00:00.000Z</x:v>
      </x:c>
      <x:c r="E100" s="11" t="n">
        <x:v>7091.58</x:v>
      </x:c>
    </x:row>
    <x:row r="101" ht="23" customHeight="1">
      <x:c r="A101" s="2" t="str">
        <x:v>P00145</x:v>
      </x:c>
      <x:c r="B101" s="2" t="str">
        <x:v>INV00167</x:v>
      </x:c>
      <x:c r="C101" s="2" t="str">
        <x:v>C019</x:v>
      </x:c>
      <x:c r="D101" s="10" t="d">
        <x:v>2026-04-20T00:00:00.000Z</x:v>
      </x:c>
      <x:c r="E101" s="11" t="n">
        <x:v>3007.7</x:v>
      </x:c>
    </x:row>
    <x:row r="102" ht="23" customHeight="1">
      <x:c r="A102" s="2" t="str">
        <x:v>P00033</x:v>
      </x:c>
      <x:c r="B102" s="2" t="str">
        <x:v>INV00041</x:v>
      </x:c>
      <x:c r="C102" s="2" t="str">
        <x:v>C036</x:v>
      </x:c>
      <x:c r="D102" s="10" t="d">
        <x:v>2026-04-21T00:00:00.000Z</x:v>
      </x:c>
      <x:c r="E102" s="11" t="n">
        <x:v>7433.95</x:v>
      </x:c>
    </x:row>
    <x:row r="103" ht="23" customHeight="1">
      <x:c r="A103" s="2" t="str">
        <x:v>P00083</x:v>
      </x:c>
      <x:c r="B103" s="2" t="str">
        <x:v>INV00090</x:v>
      </x:c>
      <x:c r="C103" s="2" t="str">
        <x:v>C013</x:v>
      </x:c>
      <x:c r="D103" s="10" t="d">
        <x:v>2026-04-23T00:00:00.000Z</x:v>
      </x:c>
      <x:c r="E103" s="11" t="n">
        <x:v>17472.87</x:v>
      </x:c>
    </x:row>
    <x:row r="104" ht="23" customHeight="1">
      <x:c r="A104" s="2" t="str">
        <x:v>P00297</x:v>
      </x:c>
      <x:c r="B104" s="2" t="str">
        <x:v>INV00343</x:v>
      </x:c>
      <x:c r="C104" s="2" t="str">
        <x:v>C001</x:v>
      </x:c>
      <x:c r="D104" s="10" t="d">
        <x:v>2026-04-23T00:00:00.000Z</x:v>
      </x:c>
      <x:c r="E104" s="11" t="n">
        <x:v>17938.84</x:v>
      </x:c>
    </x:row>
    <x:row r="105" ht="23" customHeight="1">
      <x:c r="A105" s="2" t="str">
        <x:v>P00379</x:v>
      </x:c>
      <x:c r="B105" s="2" t="str">
        <x:v>INV00428</x:v>
      </x:c>
      <x:c r="C105" s="2" t="str">
        <x:v>C023</x:v>
      </x:c>
      <x:c r="D105" s="10" t="d">
        <x:v>2026-04-24T00:00:00.000Z</x:v>
      </x:c>
      <x:c r="E105" s="11" t="n">
        <x:v>3298.43</x:v>
      </x:c>
    </x:row>
    <x:row r="106" ht="23" customHeight="1">
      <x:c r="A106" s="2" t="str">
        <x:v>P00241</x:v>
      </x:c>
      <x:c r="B106" s="2" t="str">
        <x:v>INV00274</x:v>
      </x:c>
      <x:c r="C106" s="2" t="str">
        <x:v>C032</x:v>
      </x:c>
      <x:c r="D106" s="10" t="d">
        <x:v>2026-04-25T00:00:00.000Z</x:v>
      </x:c>
      <x:c r="E106" s="11" t="n">
        <x:v>12792.87</x:v>
      </x:c>
    </x:row>
    <x:row r="107" ht="23" customHeight="1">
      <x:c r="A107" s="2" t="str">
        <x:v>P00228</x:v>
      </x:c>
      <x:c r="B107" s="2" t="str">
        <x:v>INV00266</x:v>
      </x:c>
      <x:c r="C107" s="2" t="str">
        <x:v>C033</x:v>
      </x:c>
      <x:c r="D107" s="10" t="d">
        <x:v>2026-04-26T00:00:00.000Z</x:v>
      </x:c>
      <x:c r="E107" s="11" t="n">
        <x:v>7219.69</x:v>
      </x:c>
    </x:row>
    <x:row r="108" ht="23" customHeight="1">
      <x:c r="A108" s="2" t="str">
        <x:v>P00354</x:v>
      </x:c>
      <x:c r="B108" s="2" t="str">
        <x:v>INV00396</x:v>
      </x:c>
      <x:c r="C108" s="2" t="str">
        <x:v>C001</x:v>
      </x:c>
      <x:c r="D108" s="10" t="d">
        <x:v>2026-04-27T00:00:00.000Z</x:v>
      </x:c>
      <x:c r="E108" s="11" t="n">
        <x:v>3092.8</x:v>
      </x:c>
    </x:row>
    <x:row r="109" ht="23" customHeight="1">
      <x:c r="A109" s="2" t="str">
        <x:v>P00401</x:v>
      </x:c>
      <x:c r="B109" s="2" t="str">
        <x:v>INV00452</x:v>
      </x:c>
      <x:c r="C109" s="2" t="str">
        <x:v>C025</x:v>
      </x:c>
      <x:c r="D109" s="10" t="d">
        <x:v>2026-04-28T00:00:00.000Z</x:v>
      </x:c>
      <x:c r="E109" s="11" t="n">
        <x:v>4023.46</x:v>
      </x:c>
    </x:row>
    <x:row r="110" ht="23" customHeight="1">
      <x:c r="A110" s="2" t="str">
        <x:v>P00031</x:v>
      </x:c>
      <x:c r="B110" s="2" t="str">
        <x:v>INV00039</x:v>
      </x:c>
      <x:c r="C110" s="2" t="str">
        <x:v>C022</x:v>
      </x:c>
      <x:c r="D110" s="10" t="d">
        <x:v>2026-04-29T00:00:00.000Z</x:v>
      </x:c>
      <x:c r="E110" s="11" t="n">
        <x:v>17645.4</x:v>
      </x:c>
    </x:row>
    <x:row r="111" ht="23" customHeight="1">
      <x:c r="A111" s="2" t="str">
        <x:v>P00222</x:v>
      </x:c>
      <x:c r="B111" s="2" t="str">
        <x:v>INV00257</x:v>
      </x:c>
      <x:c r="C111" s="2" t="str">
        <x:v>C014</x:v>
      </x:c>
      <x:c r="D111" s="10" t="d">
        <x:v>2026-04-29T00:00:00.000Z</x:v>
      </x:c>
      <x:c r="E111" s="11" t="n">
        <x:v>1207.51</x:v>
      </x:c>
    </x:row>
    <x:row r="112" ht="23" customHeight="1">
      <x:c r="A112" s="2" t="str">
        <x:v>P00414</x:v>
      </x:c>
      <x:c r="B112" s="2" t="str">
        <x:v>INV00469</x:v>
      </x:c>
      <x:c r="C112" s="2" t="str">
        <x:v>C025</x:v>
      </x:c>
      <x:c r="D112" s="10" t="d">
        <x:v>2026-04-30T00:00:00.000Z</x:v>
      </x:c>
      <x:c r="E112" s="11" t="n">
        <x:v>2765.84</x:v>
      </x:c>
    </x:row>
    <x:row r="113" ht="23" customHeight="1">
      <x:c r="A113" s="2" t="str">
        <x:v>P00149</x:v>
      </x:c>
      <x:c r="B113" s="2" t="str">
        <x:v>INV00170</x:v>
      </x:c>
      <x:c r="C113" s="2" t="str">
        <x:v>C012</x:v>
      </x:c>
      <x:c r="D113" s="10" t="d">
        <x:v>2026-05-02T00:00:00.000Z</x:v>
      </x:c>
      <x:c r="E113" s="11" t="n">
        <x:v>3208.58</x:v>
      </x:c>
    </x:row>
    <x:row r="114" ht="23" customHeight="1">
      <x:c r="A114" s="2" t="str">
        <x:v>P00155</x:v>
      </x:c>
      <x:c r="B114" s="2" t="str">
        <x:v>INV00182</x:v>
      </x:c>
      <x:c r="C114" s="2" t="str">
        <x:v>C016</x:v>
      </x:c>
      <x:c r="D114" s="10" t="d">
        <x:v>2026-05-03T00:00:00.000Z</x:v>
      </x:c>
      <x:c r="E114" s="11" t="n">
        <x:v>16781.62</x:v>
      </x:c>
    </x:row>
    <x:row r="115" ht="23" customHeight="1">
      <x:c r="A115" s="2" t="str">
        <x:v>P00231</x:v>
      </x:c>
      <x:c r="B115" s="2" t="str">
        <x:v>INV00268</x:v>
      </x:c>
      <x:c r="C115" s="2" t="str">
        <x:v>C033</x:v>
      </x:c>
      <x:c r="D115" s="10" t="d">
        <x:v>2026-05-03T00:00:00.000Z</x:v>
      </x:c>
      <x:c r="E115" s="11" t="n">
        <x:v>7554.3</x:v>
      </x:c>
    </x:row>
    <x:row r="116" ht="23" customHeight="1">
      <x:c r="A116" s="2" t="str">
        <x:v>P00300</x:v>
      </x:c>
      <x:c r="B116" s="2" t="str">
        <x:v>INV00346</x:v>
      </x:c>
      <x:c r="C116" s="2" t="str">
        <x:v>C016</x:v>
      </x:c>
      <x:c r="D116" s="10" t="d">
        <x:v>2026-05-03T00:00:00.000Z</x:v>
      </x:c>
      <x:c r="E116" s="11" t="n">
        <x:v>11117.92</x:v>
      </x:c>
    </x:row>
    <x:row r="117" ht="23" customHeight="1">
      <x:c r="A117" s="2" t="str">
        <x:v>P00423</x:v>
      </x:c>
      <x:c r="B117" s="2" t="str">
        <x:v>INV00477</x:v>
      </x:c>
      <x:c r="C117" s="2" t="str">
        <x:v>C038</x:v>
      </x:c>
      <x:c r="D117" s="10" t="d">
        <x:v>2026-05-03T00:00:00.000Z</x:v>
      </x:c>
      <x:c r="E117" s="11" t="n">
        <x:v>9396.56</x:v>
      </x:c>
    </x:row>
    <x:row r="118" ht="23" customHeight="1">
      <x:c r="A118" s="2" t="str">
        <x:v>P00213</x:v>
      </x:c>
      <x:c r="B118" s="2" t="str">
        <x:v>INV00247</x:v>
      </x:c>
      <x:c r="C118" s="2" t="str">
        <x:v>C018</x:v>
      </x:c>
      <x:c r="D118" s="10" t="d">
        <x:v>2026-05-04T00:00:00.000Z</x:v>
      </x:c>
      <x:c r="E118" s="11" t="n">
        <x:v>4708.64</x:v>
      </x:c>
    </x:row>
    <x:row r="119" ht="23" customHeight="1">
      <x:c r="A119" s="2" t="str">
        <x:v>P00049</x:v>
      </x:c>
      <x:c r="B119" s="2" t="str">
        <x:v>INV00058</x:v>
      </x:c>
      <x:c r="C119" s="2" t="str">
        <x:v>C033</x:v>
      </x:c>
      <x:c r="D119" s="10" t="d">
        <x:v>2026-05-05T00:00:00.000Z</x:v>
      </x:c>
      <x:c r="E119" s="11" t="n">
        <x:v>8334.74</x:v>
      </x:c>
    </x:row>
    <x:row r="120" ht="23" customHeight="1">
      <x:c r="A120" s="2" t="str">
        <x:v>P00094</x:v>
      </x:c>
      <x:c r="B120" s="2" t="str">
        <x:v>INV00104</x:v>
      </x:c>
      <x:c r="C120" s="2" t="str">
        <x:v>C017</x:v>
      </x:c>
      <x:c r="D120" s="10" t="d">
        <x:v>2026-05-05T00:00:00.000Z</x:v>
      </x:c>
      <x:c r="E120" s="11" t="n">
        <x:v>8072.62</x:v>
      </x:c>
    </x:row>
    <x:row r="121" ht="23" customHeight="1">
      <x:c r="A121" s="2" t="str">
        <x:v>P00119</x:v>
      </x:c>
      <x:c r="B121" s="2" t="str">
        <x:v>INV00136</x:v>
      </x:c>
      <x:c r="C121" s="2" t="str">
        <x:v>C020</x:v>
      </x:c>
      <x:c r="D121" s="10" t="d">
        <x:v>2026-05-05T00:00:00.000Z</x:v>
      </x:c>
      <x:c r="E121" s="11" t="n">
        <x:v>17579.86</x:v>
      </x:c>
    </x:row>
    <x:row r="122" ht="23" customHeight="1">
      <x:c r="A122" s="2" t="str">
        <x:v>P00352</x:v>
      </x:c>
      <x:c r="B122" s="2" t="str">
        <x:v>INV00394</x:v>
      </x:c>
      <x:c r="C122" s="2" t="str">
        <x:v>C028</x:v>
      </x:c>
      <x:c r="D122" s="10" t="d">
        <x:v>2026-05-05T00:00:00.000Z</x:v>
      </x:c>
      <x:c r="E122" s="11" t="n">
        <x:v>17154.29</x:v>
      </x:c>
    </x:row>
    <x:row r="123" ht="23" customHeight="1">
      <x:c r="A123" s="2" t="str">
        <x:v>P00186</x:v>
      </x:c>
      <x:c r="B123" s="2" t="str">
        <x:v>INV00215</x:v>
      </x:c>
      <x:c r="C123" s="2" t="str">
        <x:v>C011</x:v>
      </x:c>
      <x:c r="D123" s="10" t="d">
        <x:v>2026-05-06T00:00:00.000Z</x:v>
      </x:c>
      <x:c r="E123" s="11" t="n">
        <x:v>8210.29</x:v>
      </x:c>
    </x:row>
    <x:row r="124" ht="23" customHeight="1">
      <x:c r="A124" s="2" t="str">
        <x:v>P00361</x:v>
      </x:c>
      <x:c r="B124" s="2" t="str">
        <x:v>INV00404</x:v>
      </x:c>
      <x:c r="C124" s="2" t="str">
        <x:v>C025</x:v>
      </x:c>
      <x:c r="D124" s="10" t="d">
        <x:v>2026-05-07T00:00:00.000Z</x:v>
      </x:c>
      <x:c r="E124" s="11" t="n">
        <x:v>12698.29</x:v>
      </x:c>
    </x:row>
    <x:row r="125" ht="23" customHeight="1">
      <x:c r="A125" s="2" t="str">
        <x:v>P00154</x:v>
      </x:c>
      <x:c r="B125" s="2" t="str">
        <x:v>INV00180</x:v>
      </x:c>
      <x:c r="C125" s="2" t="str">
        <x:v>C039</x:v>
      </x:c>
      <x:c r="D125" s="10" t="d">
        <x:v>2026-05-09T00:00:00.000Z</x:v>
      </x:c>
      <x:c r="E125" s="11" t="n">
        <x:v>6376.26</x:v>
      </x:c>
    </x:row>
    <x:row r="126" ht="23" customHeight="1">
      <x:c r="A126" s="2" t="str">
        <x:v>P00192</x:v>
      </x:c>
      <x:c r="B126" s="2" t="str">
        <x:v>INV00221</x:v>
      </x:c>
      <x:c r="C126" s="2" t="str">
        <x:v>C026</x:v>
      </x:c>
      <x:c r="D126" s="10" t="d">
        <x:v>2026-05-09T00:00:00.000Z</x:v>
      </x:c>
      <x:c r="E126" s="11" t="n">
        <x:v>10071.97</x:v>
      </x:c>
    </x:row>
    <x:row r="127" ht="23" customHeight="1">
      <x:c r="A127" s="2" t="str">
        <x:v>P00315</x:v>
      </x:c>
      <x:c r="B127" s="2" t="str">
        <x:v>INV00361</x:v>
      </x:c>
      <x:c r="C127" s="2" t="str">
        <x:v>C008</x:v>
      </x:c>
      <x:c r="D127" s="10" t="d">
        <x:v>2026-05-09T00:00:00.000Z</x:v>
      </x:c>
      <x:c r="E127" s="11" t="n">
        <x:v>759.99</x:v>
      </x:c>
    </x:row>
    <x:row r="128" ht="23" customHeight="1">
      <x:c r="A128" s="2" t="str">
        <x:v>P00387</x:v>
      </x:c>
      <x:c r="B128" s="2" t="str">
        <x:v>INV00434</x:v>
      </x:c>
      <x:c r="C128" s="2" t="str">
        <x:v>C037</x:v>
      </x:c>
      <x:c r="D128" s="10" t="d">
        <x:v>2026-05-09T00:00:00.000Z</x:v>
      </x:c>
      <x:c r="E128" s="11" t="n">
        <x:v>18567.4</x:v>
      </x:c>
    </x:row>
    <x:row r="129" ht="23" customHeight="1">
      <x:c r="A129" s="2" t="str">
        <x:v>P00274</x:v>
      </x:c>
      <x:c r="B129" s="2" t="str">
        <x:v>INV00317</x:v>
      </x:c>
      <x:c r="C129" s="2" t="str">
        <x:v>C001</x:v>
      </x:c>
      <x:c r="D129" s="10" t="d">
        <x:v>2026-05-10T00:00:00.000Z</x:v>
      </x:c>
      <x:c r="E129" s="11" t="n">
        <x:v>13291.12</x:v>
      </x:c>
    </x:row>
    <x:row r="130" ht="23" customHeight="1">
      <x:c r="A130" s="2" t="str">
        <x:v>P00318</x:v>
      </x:c>
      <x:c r="B130" s="2" t="str">
        <x:v>INV00364</x:v>
      </x:c>
      <x:c r="C130" s="2" t="str">
        <x:v>C002</x:v>
      </x:c>
      <x:c r="D130" s="10" t="d">
        <x:v>2026-05-10T00:00:00.000Z</x:v>
      </x:c>
      <x:c r="E130" s="11" t="n">
        <x:v>17421.62</x:v>
      </x:c>
    </x:row>
    <x:row r="131" ht="23" customHeight="1">
      <x:c r="A131" s="2" t="str">
        <x:v>P00045</x:v>
      </x:c>
      <x:c r="B131" s="2" t="str">
        <x:v>INV00055</x:v>
      </x:c>
      <x:c r="C131" s="2" t="str">
        <x:v>C010</x:v>
      </x:c>
      <x:c r="D131" s="10" t="d">
        <x:v>2026-05-11T00:00:00.000Z</x:v>
      </x:c>
      <x:c r="E131" s="11" t="n">
        <x:v>3584.95</x:v>
      </x:c>
    </x:row>
    <x:row r="132" ht="23" customHeight="1">
      <x:c r="A132" s="2" t="str">
        <x:v>P00064</x:v>
      </x:c>
      <x:c r="B132" s="2" t="str">
        <x:v>INV00073</x:v>
      </x:c>
      <x:c r="C132" s="2" t="str">
        <x:v>C010</x:v>
      </x:c>
      <x:c r="D132" s="10" t="d">
        <x:v>2026-05-11T00:00:00.000Z</x:v>
      </x:c>
      <x:c r="E132" s="11" t="n">
        <x:v>11878.99</x:v>
      </x:c>
    </x:row>
    <x:row r="133" ht="23" customHeight="1">
      <x:c r="A133" s="2" t="str">
        <x:v>P00067</x:v>
      </x:c>
      <x:c r="B133" s="2" t="str">
        <x:v>INV00076</x:v>
      </x:c>
      <x:c r="C133" s="2" t="str">
        <x:v>C014</x:v>
      </x:c>
      <x:c r="D133" s="10" t="d">
        <x:v>2026-05-12T00:00:00.000Z</x:v>
      </x:c>
      <x:c r="E133" s="11" t="n">
        <x:v>13219.41</x:v>
      </x:c>
    </x:row>
    <x:row r="134" ht="23" customHeight="1">
      <x:c r="A134" s="2" t="str">
        <x:v>P00099</x:v>
      </x:c>
      <x:c r="B134" s="2" t="str">
        <x:v>INV00107</x:v>
      </x:c>
      <x:c r="C134" s="2" t="str">
        <x:v>C019</x:v>
      </x:c>
      <x:c r="D134" s="10" t="d">
        <x:v>2026-05-12T00:00:00.000Z</x:v>
      </x:c>
      <x:c r="E134" s="11" t="n">
        <x:v>875.65</x:v>
      </x:c>
    </x:row>
    <x:row r="135" ht="23" customHeight="1">
      <x:c r="A135" s="2" t="str">
        <x:v>P00160</x:v>
      </x:c>
      <x:c r="B135" s="2" t="str">
        <x:v>INV00188</x:v>
      </x:c>
      <x:c r="C135" s="2" t="str">
        <x:v>C025</x:v>
      </x:c>
      <x:c r="D135" s="10" t="d">
        <x:v>2026-05-12T00:00:00.000Z</x:v>
      </x:c>
      <x:c r="E135" s="11" t="n">
        <x:v>7641.31</x:v>
      </x:c>
    </x:row>
    <x:row r="136" ht="23" customHeight="1">
      <x:c r="A136" s="2" t="str">
        <x:v>P00288</x:v>
      </x:c>
      <x:c r="B136" s="2" t="str">
        <x:v>INV00336</x:v>
      </x:c>
      <x:c r="C136" s="2" t="str">
        <x:v>C020</x:v>
      </x:c>
      <x:c r="D136" s="10" t="d">
        <x:v>2026-05-12T00:00:00.000Z</x:v>
      </x:c>
      <x:c r="E136" s="11" t="n">
        <x:v>3152.54</x:v>
      </x:c>
    </x:row>
    <x:row r="137" ht="23" customHeight="1">
      <x:c r="A137" s="2" t="str">
        <x:v>P00237</x:v>
      </x:c>
      <x:c r="B137" s="2" t="str">
        <x:v>INV00272</x:v>
      </x:c>
      <x:c r="C137" s="2" t="str">
        <x:v>C033</x:v>
      </x:c>
      <x:c r="D137" s="10" t="d">
        <x:v>2026-05-13T00:00:00.000Z</x:v>
      </x:c>
      <x:c r="E137" s="11" t="n">
        <x:v>14191.01</x:v>
      </x:c>
    </x:row>
    <x:row r="138" ht="23" customHeight="1">
      <x:c r="A138" s="2" t="str">
        <x:v>P00281</x:v>
      </x:c>
      <x:c r="B138" s="2" t="str">
        <x:v>INV00324</x:v>
      </x:c>
      <x:c r="C138" s="2" t="str">
        <x:v>C019</x:v>
      </x:c>
      <x:c r="D138" s="10" t="d">
        <x:v>2026-05-13T00:00:00.000Z</x:v>
      </x:c>
      <x:c r="E138" s="11" t="n">
        <x:v>3468.6</x:v>
      </x:c>
    </x:row>
    <x:row r="139" ht="23" customHeight="1">
      <x:c r="A139" s="2" t="str">
        <x:v>P00386</x:v>
      </x:c>
      <x:c r="B139" s="2" t="str">
        <x:v>INV00433</x:v>
      </x:c>
      <x:c r="C139" s="2" t="str">
        <x:v>C028</x:v>
      </x:c>
      <x:c r="D139" s="10" t="d">
        <x:v>2026-05-13T00:00:00.000Z</x:v>
      </x:c>
      <x:c r="E139" s="11" t="n">
        <x:v>2300.72</x:v>
      </x:c>
    </x:row>
    <x:row r="140" ht="23" customHeight="1">
      <x:c r="A140" s="2" t="str">
        <x:v>P00126</x:v>
      </x:c>
      <x:c r="B140" s="2" t="str">
        <x:v>INV00143</x:v>
      </x:c>
      <x:c r="C140" s="2" t="str">
        <x:v>C019</x:v>
      </x:c>
      <x:c r="D140" s="10" t="d">
        <x:v>2026-05-14T00:00:00.000Z</x:v>
      </x:c>
      <x:c r="E140" s="11" t="n">
        <x:v>1443.57</x:v>
      </x:c>
    </x:row>
    <x:row r="141" ht="23" customHeight="1">
      <x:c r="A141" s="2" t="str">
        <x:v>P00115</x:v>
      </x:c>
      <x:c r="B141" s="2" t="str">
        <x:v>INV00127</x:v>
      </x:c>
      <x:c r="C141" s="2" t="str">
        <x:v>C026</x:v>
      </x:c>
      <x:c r="D141" s="10" t="d">
        <x:v>2026-05-15T00:00:00.000Z</x:v>
      </x:c>
      <x:c r="E141" s="11" t="n">
        <x:v>18433.17</x:v>
      </x:c>
    </x:row>
    <x:row r="142" ht="23" customHeight="1">
      <x:c r="A142" s="2" t="str">
        <x:v>P00125</x:v>
      </x:c>
      <x:c r="B142" s="2" t="str">
        <x:v>INV00142</x:v>
      </x:c>
      <x:c r="C142" s="2" t="str">
        <x:v>C005</x:v>
      </x:c>
      <x:c r="D142" s="10" t="d">
        <x:v>2026-05-15T00:00:00.000Z</x:v>
      </x:c>
      <x:c r="E142" s="11" t="n">
        <x:v>2289.32</x:v>
      </x:c>
    </x:row>
    <x:row r="143" ht="23" customHeight="1">
      <x:c r="A143" s="2" t="str">
        <x:v>P00224</x:v>
      </x:c>
      <x:c r="B143" s="2" t="str">
        <x:v>INV00261</x:v>
      </x:c>
      <x:c r="C143" s="2" t="str">
        <x:v>C038</x:v>
      </x:c>
      <x:c r="D143" s="10" t="d">
        <x:v>2026-05-15T00:00:00.000Z</x:v>
      </x:c>
      <x:c r="E143" s="11" t="n">
        <x:v>2396.35</x:v>
      </x:c>
    </x:row>
    <x:row r="144" ht="23" customHeight="1">
      <x:c r="A144" s="2" t="str">
        <x:v>P00235</x:v>
      </x:c>
      <x:c r="B144" s="2" t="str">
        <x:v>INV00271</x:v>
      </x:c>
      <x:c r="C144" s="2" t="str">
        <x:v>C021</x:v>
      </x:c>
      <x:c r="D144" s="10" t="d">
        <x:v>2026-05-18T00:00:00.000Z</x:v>
      </x:c>
      <x:c r="E144" s="11" t="n">
        <x:v>960.3</x:v>
      </x:c>
    </x:row>
    <x:row r="145" ht="23" customHeight="1">
      <x:c r="A145" s="2" t="str">
        <x:v>P00363</x:v>
      </x:c>
      <x:c r="B145" s="2" t="str">
        <x:v>INV00406</x:v>
      </x:c>
      <x:c r="C145" s="2" t="str">
        <x:v>C034</x:v>
      </x:c>
      <x:c r="D145" s="10" t="d">
        <x:v>2026-05-18T00:00:00.000Z</x:v>
      </x:c>
      <x:c r="E145" s="11" t="n">
        <x:v>18628.65</x:v>
      </x:c>
    </x:row>
    <x:row r="146" ht="23" customHeight="1">
      <x:c r="A146" s="2" t="str">
        <x:v>P00364</x:v>
      </x:c>
      <x:c r="B146" s="2" t="str">
        <x:v>INV00407</x:v>
      </x:c>
      <x:c r="C146" s="2" t="str">
        <x:v>C009</x:v>
      </x:c>
      <x:c r="D146" s="10" t="d">
        <x:v>2026-05-18T00:00:00.000Z</x:v>
      </x:c>
      <x:c r="E146" s="11" t="n">
        <x:v>6164.67</x:v>
      </x:c>
    </x:row>
    <x:row r="147" ht="23" customHeight="1">
      <x:c r="A147" s="2" t="str">
        <x:v>P00284</x:v>
      </x:c>
      <x:c r="B147" s="2" t="str">
        <x:v>INV00328</x:v>
      </x:c>
      <x:c r="C147" s="2" t="str">
        <x:v>C026</x:v>
      </x:c>
      <x:c r="D147" s="10" t="d">
        <x:v>2026-05-19T00:00:00.000Z</x:v>
      </x:c>
      <x:c r="E147" s="11" t="n">
        <x:v>5902.74</x:v>
      </x:c>
    </x:row>
    <x:row r="148" ht="23" customHeight="1">
      <x:c r="A148" s="2" t="str">
        <x:v>P00365</x:v>
      </x:c>
      <x:c r="B148" s="2" t="str">
        <x:v>INV00408</x:v>
      </x:c>
      <x:c r="C148" s="2" t="str">
        <x:v>C004</x:v>
      </x:c>
      <x:c r="D148" s="10" t="d">
        <x:v>2026-05-19T00:00:00.000Z</x:v>
      </x:c>
      <x:c r="E148" s="11" t="n">
        <x:v>7185.29</x:v>
      </x:c>
    </x:row>
    <x:row r="149" ht="23" customHeight="1">
      <x:c r="A149" s="2" t="str">
        <x:v>P00208</x:v>
      </x:c>
      <x:c r="B149" s="2" t="str">
        <x:v>INV00241</x:v>
      </x:c>
      <x:c r="C149" s="2" t="str">
        <x:v>C028</x:v>
      </x:c>
      <x:c r="D149" s="10" t="d">
        <x:v>2026-05-20T00:00:00.000Z</x:v>
      </x:c>
      <x:c r="E149" s="11" t="n">
        <x:v>2155.36</x:v>
      </x:c>
    </x:row>
    <x:row r="150" ht="23" customHeight="1">
      <x:c r="A150" s="2" t="str">
        <x:v>P00209</x:v>
      </x:c>
      <x:c r="B150" s="2" t="str">
        <x:v>INV00243</x:v>
      </x:c>
      <x:c r="C150" s="2" t="str">
        <x:v>C030</x:v>
      </x:c>
      <x:c r="D150" s="10" t="d">
        <x:v>2026-05-20T00:00:00.000Z</x:v>
      </x:c>
      <x:c r="E150" s="11" t="n">
        <x:v>12952.07</x:v>
      </x:c>
    </x:row>
    <x:row r="151" ht="23" customHeight="1">
      <x:c r="A151" s="2" t="str">
        <x:v>P00371</x:v>
      </x:c>
      <x:c r="B151" s="2" t="str">
        <x:v>INV00418</x:v>
      </x:c>
      <x:c r="C151" s="2" t="str">
        <x:v>C007</x:v>
      </x:c>
      <x:c r="D151" s="10" t="d">
        <x:v>2026-05-20T00:00:00.000Z</x:v>
      </x:c>
      <x:c r="E151" s="11" t="n">
        <x:v>5119.65</x:v>
      </x:c>
    </x:row>
    <x:row r="152" ht="23" customHeight="1">
      <x:c r="A152" s="2" t="str">
        <x:v>P00076</x:v>
      </x:c>
      <x:c r="B152" s="2" t="str">
        <x:v>INV00083</x:v>
      </x:c>
      <x:c r="C152" s="2" t="str">
        <x:v>C031</x:v>
      </x:c>
      <x:c r="D152" s="10" t="d">
        <x:v>2026-05-21T00:00:00.000Z</x:v>
      </x:c>
      <x:c r="E152" s="11" t="n">
        <x:v>1039.65</x:v>
      </x:c>
    </x:row>
    <x:row r="153" ht="23" customHeight="1">
      <x:c r="A153" s="2" t="str">
        <x:v>P00089</x:v>
      </x:c>
      <x:c r="B153" s="2" t="str">
        <x:v>INV00097</x:v>
      </x:c>
      <x:c r="C153" s="2" t="str">
        <x:v>C027</x:v>
      </x:c>
      <x:c r="D153" s="10" t="d">
        <x:v>2026-05-22T00:00:00.000Z</x:v>
      </x:c>
      <x:c r="E153" s="11" t="n">
        <x:v>7970.38</x:v>
      </x:c>
    </x:row>
    <x:row r="154" ht="23" customHeight="1">
      <x:c r="A154" s="2" t="str">
        <x:v>P00105</x:v>
      </x:c>
      <x:c r="B154" s="2" t="str">
        <x:v>INV00115</x:v>
      </x:c>
      <x:c r="C154" s="2" t="str">
        <x:v>C030</x:v>
      </x:c>
      <x:c r="D154" s="10" t="d">
        <x:v>2026-05-22T00:00:00.000Z</x:v>
      </x:c>
      <x:c r="E154" s="11" t="n">
        <x:v>5780</x:v>
      </x:c>
    </x:row>
    <x:row r="155" ht="23" customHeight="1">
      <x:c r="A155" s="2" t="str">
        <x:v>P00199</x:v>
      </x:c>
      <x:c r="B155" s="2" t="str">
        <x:v>INV00231</x:v>
      </x:c>
      <x:c r="C155" s="2" t="str">
        <x:v>C036</x:v>
      </x:c>
      <x:c r="D155" s="10" t="d">
        <x:v>2026-05-22T00:00:00.000Z</x:v>
      </x:c>
      <x:c r="E155" s="11" t="n">
        <x:v>8290.15</x:v>
      </x:c>
    </x:row>
    <x:row r="156" ht="23" customHeight="1">
      <x:c r="A156" s="2" t="str">
        <x:v>P00254</x:v>
      </x:c>
      <x:c r="B156" s="2" t="str">
        <x:v>INV00291</x:v>
      </x:c>
      <x:c r="C156" s="2" t="str">
        <x:v>C029</x:v>
      </x:c>
      <x:c r="D156" s="10" t="d">
        <x:v>2026-05-22T00:00:00.000Z</x:v>
      </x:c>
      <x:c r="E156" s="11" t="n">
        <x:v>4083.37</x:v>
      </x:c>
    </x:row>
    <x:row r="157" ht="23" customHeight="1">
      <x:c r="A157" s="2" t="str">
        <x:v>P00251</x:v>
      </x:c>
      <x:c r="B157" s="2" t="str">
        <x:v>INV00288</x:v>
      </x:c>
      <x:c r="C157" s="2" t="str">
        <x:v>C034</x:v>
      </x:c>
      <x:c r="D157" s="10" t="d">
        <x:v>2026-05-23T00:00:00.000Z</x:v>
      </x:c>
      <x:c r="E157" s="11" t="n">
        <x:v>2149.99</x:v>
      </x:c>
    </x:row>
    <x:row r="158" ht="23" customHeight="1">
      <x:c r="A158" s="2" t="str">
        <x:v>P00294</x:v>
      </x:c>
      <x:c r="B158" s="2" t="str">
        <x:v>INV00341</x:v>
      </x:c>
      <x:c r="C158" s="2" t="str">
        <x:v>C002</x:v>
      </x:c>
      <x:c r="D158" s="10" t="d">
        <x:v>2026-05-23T00:00:00.000Z</x:v>
      </x:c>
      <x:c r="E158" s="11" t="n">
        <x:v>2043.04</x:v>
      </x:c>
    </x:row>
    <x:row r="159" ht="23" customHeight="1">
      <x:c r="A159" s="2" t="str">
        <x:v>P00074</x:v>
      </x:c>
      <x:c r="B159" s="2" t="str">
        <x:v>INV00082</x:v>
      </x:c>
      <x:c r="C159" s="2" t="str">
        <x:v>C035</x:v>
      </x:c>
      <x:c r="D159" s="10" t="d">
        <x:v>2026-05-24T00:00:00.000Z</x:v>
      </x:c>
      <x:c r="E159" s="11" t="n">
        <x:v>3673.96</x:v>
      </x:c>
    </x:row>
    <x:row r="160" ht="23" customHeight="1">
      <x:c r="A160" s="2" t="str">
        <x:v>P00233</x:v>
      </x:c>
      <x:c r="B160" s="2" t="str">
        <x:v>INV00269</x:v>
      </x:c>
      <x:c r="C160" s="2" t="str">
        <x:v>C022</x:v>
      </x:c>
      <x:c r="D160" s="10" t="d">
        <x:v>2026-05-25T00:00:00.000Z</x:v>
      </x:c>
      <x:c r="E160" s="11" t="n">
        <x:v>14980.02</x:v>
      </x:c>
    </x:row>
    <x:row r="161" ht="23" customHeight="1">
      <x:c r="A161" s="2" t="str">
        <x:v>P00406</x:v>
      </x:c>
      <x:c r="B161" s="2" t="str">
        <x:v>INV00459</x:v>
      </x:c>
      <x:c r="C161" s="2" t="str">
        <x:v>C022</x:v>
      </x:c>
      <x:c r="D161" s="10" t="d">
        <x:v>2026-05-25T00:00:00.000Z</x:v>
      </x:c>
      <x:c r="E161" s="11" t="n">
        <x:v>6169.63</x:v>
      </x:c>
    </x:row>
    <x:row r="162" ht="23" customHeight="1">
      <x:c r="A162" s="2" t="str">
        <x:v>P00041</x:v>
      </x:c>
      <x:c r="B162" s="2" t="str">
        <x:v>INV00050</x:v>
      </x:c>
      <x:c r="C162" s="2" t="str">
        <x:v>C025</x:v>
      </x:c>
      <x:c r="D162" s="10" t="d">
        <x:v>2026-05-26T00:00:00.000Z</x:v>
      </x:c>
      <x:c r="E162" s="11" t="n">
        <x:v>19154.75</x:v>
      </x:c>
    </x:row>
    <x:row r="163" ht="23" customHeight="1">
      <x:c r="A163" s="2" t="str">
        <x:v>P00158</x:v>
      </x:c>
      <x:c r="B163" s="2" t="str">
        <x:v>INV00184</x:v>
      </x:c>
      <x:c r="C163" s="2" t="str">
        <x:v>C034</x:v>
      </x:c>
      <x:c r="D163" s="10" t="d">
        <x:v>2026-05-26T00:00:00.000Z</x:v>
      </x:c>
      <x:c r="E163" s="11" t="n">
        <x:v>10097.13</x:v>
      </x:c>
    </x:row>
    <x:row r="164" ht="23" customHeight="1">
      <x:c r="A164" s="2" t="str">
        <x:v>P00395</x:v>
      </x:c>
      <x:c r="B164" s="2" t="str">
        <x:v>INV00441</x:v>
      </x:c>
      <x:c r="C164" s="2" t="str">
        <x:v>C034</x:v>
      </x:c>
      <x:c r="D164" s="10" t="d">
        <x:v>2026-05-26T00:00:00.000Z</x:v>
      </x:c>
      <x:c r="E164" s="11" t="n">
        <x:v>5961.82</x:v>
      </x:c>
    </x:row>
    <x:row r="165" ht="23" customHeight="1">
      <x:c r="A165" s="2" t="str">
        <x:v>P00253</x:v>
      </x:c>
      <x:c r="B165" s="2" t="str">
        <x:v>INV00290</x:v>
      </x:c>
      <x:c r="C165" s="2" t="str">
        <x:v>C001</x:v>
      </x:c>
      <x:c r="D165" s="10" t="d">
        <x:v>2026-05-28T00:00:00.000Z</x:v>
      </x:c>
      <x:c r="E165" s="11" t="n">
        <x:v>9297.77</x:v>
      </x:c>
    </x:row>
    <x:row r="166" ht="23" customHeight="1">
      <x:c r="A166" s="2" t="str">
        <x:v>P00272</x:v>
      </x:c>
      <x:c r="B166" s="2" t="str">
        <x:v>INV00315</x:v>
      </x:c>
      <x:c r="C166" s="2" t="str">
        <x:v>C009</x:v>
      </x:c>
      <x:c r="D166" s="10" t="d">
        <x:v>2026-05-28T00:00:00.000Z</x:v>
      </x:c>
      <x:c r="E166" s="11" t="n">
        <x:v>791.25</x:v>
      </x:c>
    </x:row>
    <x:row r="167" ht="23" customHeight="1">
      <x:c r="A167" s="2" t="str">
        <x:v>P00312</x:v>
      </x:c>
      <x:c r="B167" s="2" t="str">
        <x:v>INV00358</x:v>
      </x:c>
      <x:c r="C167" s="2" t="str">
        <x:v>C023</x:v>
      </x:c>
      <x:c r="D167" s="10" t="d">
        <x:v>2026-05-28T00:00:00.000Z</x:v>
      </x:c>
      <x:c r="E167" s="11" t="n">
        <x:v>4282.98</x:v>
      </x:c>
    </x:row>
    <x:row r="168" ht="23" customHeight="1">
      <x:c r="A168" s="2" t="str">
        <x:v>P00091</x:v>
      </x:c>
      <x:c r="B168" s="2" t="str">
        <x:v>INV00099</x:v>
      </x:c>
      <x:c r="C168" s="2" t="str">
        <x:v>C013</x:v>
      </x:c>
      <x:c r="D168" s="10" t="d">
        <x:v>2026-05-29T00:00:00.000Z</x:v>
      </x:c>
      <x:c r="E168" s="11" t="n">
        <x:v>3595.5</x:v>
      </x:c>
    </x:row>
    <x:row r="169" ht="23" customHeight="1">
      <x:c r="A169" s="2" t="str">
        <x:v>P00179</x:v>
      </x:c>
      <x:c r="B169" s="2" t="str">
        <x:v>INV00208</x:v>
      </x:c>
      <x:c r="C169" s="2" t="str">
        <x:v>C018</x:v>
      </x:c>
      <x:c r="D169" s="10" t="d">
        <x:v>2026-05-29T00:00:00.000Z</x:v>
      </x:c>
      <x:c r="E169" s="11" t="n">
        <x:v>2842.63</x:v>
      </x:c>
    </x:row>
    <x:row r="170" ht="23" customHeight="1">
      <x:c r="A170" s="2" t="str">
        <x:v>P00376</x:v>
      </x:c>
      <x:c r="B170" s="2" t="str">
        <x:v>INV00425</x:v>
      </x:c>
      <x:c r="C170" s="2" t="str">
        <x:v>C018</x:v>
      </x:c>
      <x:c r="D170" s="10" t="d">
        <x:v>2026-05-29T00:00:00.000Z</x:v>
      </x:c>
      <x:c r="E170" s="11" t="n">
        <x:v>7114.47</x:v>
      </x:c>
    </x:row>
    <x:row r="171" ht="23" customHeight="1">
      <x:c r="A171" s="2" t="str">
        <x:v>P00402</x:v>
      </x:c>
      <x:c r="B171" s="2" t="str">
        <x:v>INV00454</x:v>
      </x:c>
      <x:c r="C171" s="2" t="str">
        <x:v>C003</x:v>
      </x:c>
      <x:c r="D171" s="10" t="d">
        <x:v>2026-05-29T00:00:00.000Z</x:v>
      </x:c>
      <x:c r="E171" s="11" t="n">
        <x:v>1035.93</x:v>
      </x:c>
    </x:row>
    <x:row r="172" ht="23" customHeight="1">
      <x:c r="A172" s="2" t="str">
        <x:v>P00129</x:v>
      </x:c>
      <x:c r="B172" s="2" t="str">
        <x:v>INV00145</x:v>
      </x:c>
      <x:c r="C172" s="2" t="str">
        <x:v>C007</x:v>
      </x:c>
      <x:c r="D172" s="10" t="d">
        <x:v>2026-05-30T00:00:00.000Z</x:v>
      </x:c>
      <x:c r="E172" s="11" t="n">
        <x:v>4164.81</x:v>
      </x:c>
    </x:row>
    <x:row r="173" ht="23" customHeight="1">
      <x:c r="A173" s="2" t="str">
        <x:v>P00138</x:v>
      </x:c>
      <x:c r="B173" s="2" t="str">
        <x:v>INV00154</x:v>
      </x:c>
      <x:c r="C173" s="2" t="str">
        <x:v>C039</x:v>
      </x:c>
      <x:c r="D173" s="10" t="d">
        <x:v>2026-05-30T00:00:00.000Z</x:v>
      </x:c>
      <x:c r="E173" s="11" t="n">
        <x:v>11235.41</x:v>
      </x:c>
    </x:row>
    <x:row r="174" ht="23" customHeight="1">
      <x:c r="A174" s="2" t="str">
        <x:v>P00009</x:v>
      </x:c>
      <x:c r="B174" s="2" t="str">
        <x:v>INV00014</x:v>
      </x:c>
      <x:c r="C174" s="2" t="str">
        <x:v>C003</x:v>
      </x:c>
      <x:c r="D174" s="10" t="d">
        <x:v>2026-05-31T00:00:00.000Z</x:v>
      </x:c>
      <x:c r="E174" s="11" t="n">
        <x:v>3311.22</x:v>
      </x:c>
    </x:row>
    <x:row r="175" ht="23" customHeight="1">
      <x:c r="A175" s="2" t="str">
        <x:v>P00050</x:v>
      </x:c>
      <x:c r="B175" s="2" t="str">
        <x:v>INV00059</x:v>
      </x:c>
      <x:c r="C175" s="2" t="str">
        <x:v>C023</x:v>
      </x:c>
      <x:c r="D175" s="10" t="d">
        <x:v>2026-05-31T00:00:00.000Z</x:v>
      </x:c>
      <x:c r="E175" s="11" t="n">
        <x:v>9069.21</x:v>
      </x:c>
    </x:row>
    <x:row r="176" ht="23" customHeight="1">
      <x:c r="A176" s="2" t="str">
        <x:v>P00150</x:v>
      </x:c>
      <x:c r="B176" s="2" t="str">
        <x:v>INV00171</x:v>
      </x:c>
      <x:c r="C176" s="2" t="str">
        <x:v>C038</x:v>
      </x:c>
      <x:c r="D176" s="10" t="d">
        <x:v>2026-05-31T00:00:00.000Z</x:v>
      </x:c>
      <x:c r="E176" s="11" t="n">
        <x:v>17624.04</x:v>
      </x:c>
    </x:row>
    <x:row r="177" ht="23" customHeight="1">
      <x:c r="A177" s="2" t="str">
        <x:v>P00263</x:v>
      </x:c>
      <x:c r="B177" s="2" t="str">
        <x:v>INV00303</x:v>
      </x:c>
      <x:c r="C177" s="2" t="str">
        <x:v>C034</x:v>
      </x:c>
      <x:c r="D177" s="10" t="d">
        <x:v>2026-06-01T00:00:00.000Z</x:v>
      </x:c>
      <x:c r="E177" s="11" t="n">
        <x:v>4766.39</x:v>
      </x:c>
    </x:row>
    <x:row r="178" ht="23" customHeight="1">
      <x:c r="A178" s="2" t="str">
        <x:v>P00002</x:v>
      </x:c>
      <x:c r="B178" s="2" t="str">
        <x:v>INV00003</x:v>
      </x:c>
      <x:c r="C178" s="2" t="str">
        <x:v>C020</x:v>
      </x:c>
      <x:c r="D178" s="10" t="d">
        <x:v>2026-06-02T00:00:00.000Z</x:v>
      </x:c>
      <x:c r="E178" s="11" t="n">
        <x:v>7488.38</x:v>
      </x:c>
    </x:row>
    <x:row r="179" ht="23" customHeight="1">
      <x:c r="A179" s="2" t="str">
        <x:v>P00250</x:v>
      </x:c>
      <x:c r="B179" s="2" t="str">
        <x:v>INV00287</x:v>
      </x:c>
      <x:c r="C179" s="2" t="str">
        <x:v>C017</x:v>
      </x:c>
      <x:c r="D179" s="10" t="d">
        <x:v>2026-06-02T00:00:00.000Z</x:v>
      </x:c>
      <x:c r="E179" s="11" t="n">
        <x:v>9253.42</x:v>
      </x:c>
    </x:row>
    <x:row r="180" ht="23" customHeight="1">
      <x:c r="A180" s="2" t="str">
        <x:v>P00388</x:v>
      </x:c>
      <x:c r="B180" s="2" t="str">
        <x:v>INV00435</x:v>
      </x:c>
      <x:c r="C180" s="2" t="str">
        <x:v>C006</x:v>
      </x:c>
      <x:c r="D180" s="10" t="d">
        <x:v>2026-06-03T00:00:00.000Z</x:v>
      </x:c>
      <x:c r="E180" s="11" t="n">
        <x:v>1560.71</x:v>
      </x:c>
    </x:row>
    <x:row r="181" ht="23" customHeight="1">
      <x:c r="A181" s="2" t="str">
        <x:v>P00086</x:v>
      </x:c>
      <x:c r="B181" s="2" t="str">
        <x:v>INV00094</x:v>
      </x:c>
      <x:c r="C181" s="2" t="str">
        <x:v>C004</x:v>
      </x:c>
      <x:c r="D181" s="10" t="d">
        <x:v>2026-06-05T00:00:00.000Z</x:v>
      </x:c>
      <x:c r="E181" s="11" t="n">
        <x:v>1719.33</x:v>
      </x:c>
    </x:row>
    <x:row r="182" ht="23" customHeight="1">
      <x:c r="A182" s="2" t="str">
        <x:v>P00137</x:v>
      </x:c>
      <x:c r="B182" s="2" t="str">
        <x:v>INV00152</x:v>
      </x:c>
      <x:c r="C182" s="2" t="str">
        <x:v>C017</x:v>
      </x:c>
      <x:c r="D182" s="10" t="d">
        <x:v>2026-06-05T00:00:00.000Z</x:v>
      </x:c>
      <x:c r="E182" s="11" t="n">
        <x:v>6910.22</x:v>
      </x:c>
    </x:row>
    <x:row r="183" ht="23" customHeight="1">
      <x:c r="A183" s="2" t="str">
        <x:v>P00198</x:v>
      </x:c>
      <x:c r="B183" s="2" t="str">
        <x:v>INV00230</x:v>
      </x:c>
      <x:c r="C183" s="2" t="str">
        <x:v>C036</x:v>
      </x:c>
      <x:c r="D183" s="10" t="d">
        <x:v>2026-06-05T00:00:00.000Z</x:v>
      </x:c>
      <x:c r="E183" s="11" t="n">
        <x:v>14560.94</x:v>
      </x:c>
    </x:row>
    <x:row r="184" ht="23" customHeight="1">
      <x:c r="A184" s="2" t="str">
        <x:v>P00326</x:v>
      </x:c>
      <x:c r="B184" s="2" t="str">
        <x:v>INV00370</x:v>
      </x:c>
      <x:c r="C184" s="2" t="str">
        <x:v>C038</x:v>
      </x:c>
      <x:c r="D184" s="10" t="d">
        <x:v>2026-06-05T00:00:00.000Z</x:v>
      </x:c>
      <x:c r="E184" s="11" t="n">
        <x:v>1479.59</x:v>
      </x:c>
    </x:row>
    <x:row r="185" ht="23" customHeight="1">
      <x:c r="A185" s="2" t="str">
        <x:v>P00346</x:v>
      </x:c>
      <x:c r="B185" s="2" t="str">
        <x:v>INV00390</x:v>
      </x:c>
      <x:c r="C185" s="2" t="str">
        <x:v>C007</x:v>
      </x:c>
      <x:c r="D185" s="10" t="d">
        <x:v>2026-06-05T00:00:00.000Z</x:v>
      </x:c>
      <x:c r="E185" s="11" t="n">
        <x:v>1774.02</x:v>
      </x:c>
    </x:row>
    <x:row r="186" ht="23" customHeight="1">
      <x:c r="A186" s="2" t="str">
        <x:v>P00287</x:v>
      </x:c>
      <x:c r="B186" s="2" t="str">
        <x:v>INV00333</x:v>
      </x:c>
      <x:c r="C186" s="2" t="str">
        <x:v>C032</x:v>
      </x:c>
      <x:c r="D186" s="10" t="d">
        <x:v>2026-06-06T00:00:00.000Z</x:v>
      </x:c>
      <x:c r="E186" s="11" t="n">
        <x:v>4207.84</x:v>
      </x:c>
    </x:row>
    <x:row r="187" ht="23" customHeight="1">
      <x:c r="A187" s="2" t="str">
        <x:v>P00412</x:v>
      </x:c>
      <x:c r="B187" s="2" t="str">
        <x:v>INV00468</x:v>
      </x:c>
      <x:c r="C187" s="2" t="str">
        <x:v>C020</x:v>
      </x:c>
      <x:c r="D187" s="10" t="d">
        <x:v>2026-06-06T00:00:00.000Z</x:v>
      </x:c>
      <x:c r="E187" s="11" t="n">
        <x:v>2005.72</x:v>
      </x:c>
    </x:row>
    <x:row r="188" ht="23" customHeight="1">
      <x:c r="A188" s="2" t="str">
        <x:v>P00027</x:v>
      </x:c>
      <x:c r="B188" s="2" t="str">
        <x:v>INV00035</x:v>
      </x:c>
      <x:c r="C188" s="2" t="str">
        <x:v>C036</x:v>
      </x:c>
      <x:c r="D188" s="10" t="d">
        <x:v>2026-06-08T00:00:00.000Z</x:v>
      </x:c>
      <x:c r="E188" s="11" t="n">
        <x:v>4675.19</x:v>
      </x:c>
    </x:row>
    <x:row r="189" ht="23" customHeight="1">
      <x:c r="A189" s="2" t="str">
        <x:v>P00348</x:v>
      </x:c>
      <x:c r="B189" s="2" t="str">
        <x:v>INV00391</x:v>
      </x:c>
      <x:c r="C189" s="2" t="str">
        <x:v>C036</x:v>
      </x:c>
      <x:c r="D189" s="10" t="d">
        <x:v>2026-06-09T00:00:00.000Z</x:v>
      </x:c>
      <x:c r="E189" s="11" t="n">
        <x:v>4278.58</x:v>
      </x:c>
    </x:row>
    <x:row r="190" ht="23" customHeight="1">
      <x:c r="A190" s="2" t="str">
        <x:v>P00059</x:v>
      </x:c>
      <x:c r="B190" s="2" t="str">
        <x:v>INV00066</x:v>
      </x:c>
      <x:c r="C190" s="2" t="str">
        <x:v>C006</x:v>
      </x:c>
      <x:c r="D190" s="10" t="d">
        <x:v>2026-06-10T00:00:00.000Z</x:v>
      </x:c>
      <x:c r="E190" s="11" t="n">
        <x:v>10760.06</x:v>
      </x:c>
    </x:row>
    <x:row r="191" ht="23" customHeight="1">
      <x:c r="A191" s="2" t="str">
        <x:v>P00148</x:v>
      </x:c>
      <x:c r="B191" s="2" t="str">
        <x:v>INV00169</x:v>
      </x:c>
      <x:c r="C191" s="2" t="str">
        <x:v>C035</x:v>
      </x:c>
      <x:c r="D191" s="10" t="d">
        <x:v>2026-06-10T00:00:00.000Z</x:v>
      </x:c>
      <x:c r="E191" s="11" t="n">
        <x:v>9695.92</x:v>
      </x:c>
    </x:row>
    <x:row r="192" ht="23" customHeight="1">
      <x:c r="A192" s="2" t="str">
        <x:v>P00200</x:v>
      </x:c>
      <x:c r="B192" s="2" t="str">
        <x:v>INV00232</x:v>
      </x:c>
      <x:c r="C192" s="2" t="str">
        <x:v>C005</x:v>
      </x:c>
      <x:c r="D192" s="10" t="d">
        <x:v>2026-06-10T00:00:00.000Z</x:v>
      </x:c>
      <x:c r="E192" s="11" t="n">
        <x:v>5138.12</x:v>
      </x:c>
    </x:row>
    <x:row r="193" ht="23" customHeight="1">
      <x:c r="A193" s="2" t="str">
        <x:v>P00029</x:v>
      </x:c>
      <x:c r="B193" s="2" t="str">
        <x:v>INV00036</x:v>
      </x:c>
      <x:c r="C193" s="2" t="str">
        <x:v>C024</x:v>
      </x:c>
      <x:c r="D193" s="10" t="d">
        <x:v>2026-06-11T00:00:00.000Z</x:v>
      </x:c>
      <x:c r="E193" s="11" t="n">
        <x:v>8360.22</x:v>
      </x:c>
    </x:row>
    <x:row r="194" ht="23" customHeight="1">
      <x:c r="A194" s="2" t="str">
        <x:v>P00220</x:v>
      </x:c>
      <x:c r="B194" s="2" t="str">
        <x:v>INV00256</x:v>
      </x:c>
      <x:c r="C194" s="2" t="str">
        <x:v>C009</x:v>
      </x:c>
      <x:c r="D194" s="10" t="d">
        <x:v>2026-06-11T00:00:00.000Z</x:v>
      </x:c>
      <x:c r="E194" s="11" t="n">
        <x:v>15686.29</x:v>
      </x:c>
    </x:row>
    <x:row r="195" ht="23" customHeight="1">
      <x:c r="A195" s="2" t="str">
        <x:v>P00286</x:v>
      </x:c>
      <x:c r="B195" s="2" t="str">
        <x:v>INV00332</x:v>
      </x:c>
      <x:c r="C195" s="2" t="str">
        <x:v>C005</x:v>
      </x:c>
      <x:c r="D195" s="10" t="d">
        <x:v>2026-06-11T00:00:00.000Z</x:v>
      </x:c>
      <x:c r="E195" s="11" t="n">
        <x:v>12889.22</x:v>
      </x:c>
    </x:row>
    <x:row r="196" ht="23" customHeight="1">
      <x:c r="A196" s="2" t="str">
        <x:v>P00405</x:v>
      </x:c>
      <x:c r="B196" s="2" t="str">
        <x:v>INV00458</x:v>
      </x:c>
      <x:c r="C196" s="2" t="str">
        <x:v>C028</x:v>
      </x:c>
      <x:c r="D196" s="10" t="d">
        <x:v>2026-06-11T00:00:00.000Z</x:v>
      </x:c>
      <x:c r="E196" s="11" t="n">
        <x:v>4539.18</x:v>
      </x:c>
    </x:row>
    <x:row r="197" ht="23" customHeight="1">
      <x:c r="A197" s="2" t="str">
        <x:v>P00172</x:v>
      </x:c>
      <x:c r="B197" s="2" t="str">
        <x:v>INV00200</x:v>
      </x:c>
      <x:c r="C197" s="2" t="str">
        <x:v>C001</x:v>
      </x:c>
      <x:c r="D197" s="10" t="d">
        <x:v>2026-06-12T00:00:00.000Z</x:v>
      </x:c>
      <x:c r="E197" s="11" t="n">
        <x:v>3359.67</x:v>
      </x:c>
    </x:row>
    <x:row r="198" ht="23" customHeight="1">
      <x:c r="A198" s="2" t="str">
        <x:v>P00181</x:v>
      </x:c>
      <x:c r="B198" s="2" t="str">
        <x:v>INV00210</x:v>
      </x:c>
      <x:c r="C198" s="2" t="str">
        <x:v>C033</x:v>
      </x:c>
      <x:c r="D198" s="10" t="d">
        <x:v>2026-06-12T00:00:00.000Z</x:v>
      </x:c>
      <x:c r="E198" s="11" t="n">
        <x:v>19844.81</x:v>
      </x:c>
    </x:row>
    <x:row r="199" ht="23" customHeight="1">
      <x:c r="A199" s="2" t="str">
        <x:v>P00230</x:v>
      </x:c>
      <x:c r="B199" s="2" t="str">
        <x:v>INV00267</x:v>
      </x:c>
      <x:c r="C199" s="2" t="str">
        <x:v>C011</x:v>
      </x:c>
      <x:c r="D199" s="10" t="d">
        <x:v>2026-06-12T00:00:00.000Z</x:v>
      </x:c>
      <x:c r="E199" s="11" t="n">
        <x:v>2005.71</x:v>
      </x:c>
    </x:row>
    <x:row r="200" ht="23" customHeight="1">
      <x:c r="A200" s="2" t="str">
        <x:v>P00367</x:v>
      </x:c>
      <x:c r="B200" s="2" t="str">
        <x:v>INV00409</x:v>
      </x:c>
      <x:c r="C200" s="2" t="str">
        <x:v>C020</x:v>
      </x:c>
      <x:c r="D200" s="10" t="d">
        <x:v>2026-06-12T00:00:00.000Z</x:v>
      </x:c>
      <x:c r="E200" s="11" t="n">
        <x:v>12476.82</x:v>
      </x:c>
    </x:row>
    <x:row r="201" ht="23" customHeight="1">
      <x:c r="A201" s="2" t="str">
        <x:v>P00396</x:v>
      </x:c>
      <x:c r="B201" s="2" t="str">
        <x:v>INV00442</x:v>
      </x:c>
      <x:c r="C201" s="2" t="str">
        <x:v>C032</x:v>
      </x:c>
      <x:c r="D201" s="10" t="d">
        <x:v>2026-06-12T00:00:00.000Z</x:v>
      </x:c>
      <x:c r="E201" s="11" t="n">
        <x:v>11654.03</x:v>
      </x:c>
    </x:row>
    <x:row r="202" ht="23" customHeight="1">
      <x:c r="A202" s="2" t="str">
        <x:v>P00218</x:v>
      </x:c>
      <x:c r="B202" s="2" t="str">
        <x:v>INV00254</x:v>
      </x:c>
      <x:c r="C202" s="2" t="str">
        <x:v>C020</x:v>
      </x:c>
      <x:c r="D202" s="10" t="d">
        <x:v>2026-06-13T00:00:00.000Z</x:v>
      </x:c>
      <x:c r="E202" s="11" t="n">
        <x:v>9325.06</x:v>
      </x:c>
    </x:row>
    <x:row r="203" ht="23" customHeight="1">
      <x:c r="A203" s="2" t="str">
        <x:v>P00030</x:v>
      </x:c>
      <x:c r="B203" s="2" t="str">
        <x:v>INV00038</x:v>
      </x:c>
      <x:c r="C203" s="2" t="str">
        <x:v>C037</x:v>
      </x:c>
      <x:c r="D203" s="10" t="d">
        <x:v>2026-06-14T00:00:00.000Z</x:v>
      </x:c>
      <x:c r="E203" s="11" t="n">
        <x:v>16731.79</x:v>
      </x:c>
    </x:row>
    <x:row r="204" ht="23" customHeight="1">
      <x:c r="A204" s="2" t="str">
        <x:v>P00227</x:v>
      </x:c>
      <x:c r="B204" s="2" t="str">
        <x:v>INV00264</x:v>
      </x:c>
      <x:c r="C204" s="2" t="str">
        <x:v>C015</x:v>
      </x:c>
      <x:c r="D204" s="10" t="d">
        <x:v>2026-06-14T00:00:00.000Z</x:v>
      </x:c>
      <x:c r="E204" s="11" t="n">
        <x:v>9785.94</x:v>
      </x:c>
    </x:row>
    <x:row r="205" ht="23" customHeight="1">
      <x:c r="A205" s="2" t="str">
        <x:v>P00324</x:v>
      </x:c>
      <x:c r="B205" s="2" t="str">
        <x:v>INV00369</x:v>
      </x:c>
      <x:c r="C205" s="2" t="str">
        <x:v>C026</x:v>
      </x:c>
      <x:c r="D205" s="10" t="d">
        <x:v>2026-06-14T00:00:00.000Z</x:v>
      </x:c>
      <x:c r="E205" s="11" t="n">
        <x:v>4666.63</x:v>
      </x:c>
    </x:row>
    <x:row r="206" ht="23" customHeight="1">
      <x:c r="A206" s="2" t="str">
        <x:v>P00305</x:v>
      </x:c>
      <x:c r="B206" s="2" t="str">
        <x:v>INV00350</x:v>
      </x:c>
      <x:c r="C206" s="2" t="str">
        <x:v>C007</x:v>
      </x:c>
      <x:c r="D206" s="10" t="d">
        <x:v>2026-06-15T00:00:00.000Z</x:v>
      </x:c>
      <x:c r="E206" s="11" t="n">
        <x:v>13822.64</x:v>
      </x:c>
    </x:row>
    <x:row r="207" ht="23" customHeight="1">
      <x:c r="A207" s="2" t="str">
        <x:v>P00391</x:v>
      </x:c>
      <x:c r="B207" s="2" t="str">
        <x:v>INV00436</x:v>
      </x:c>
      <x:c r="C207" s="2" t="str">
        <x:v>C006</x:v>
      </x:c>
      <x:c r="D207" s="10" t="d">
        <x:v>2026-06-15T00:00:00.000Z</x:v>
      </x:c>
      <x:c r="E207" s="11" t="n">
        <x:v>5309.21</x:v>
      </x:c>
    </x:row>
    <x:row r="208" ht="23" customHeight="1">
      <x:c r="A208" s="2" t="str">
        <x:v>P00005</x:v>
      </x:c>
      <x:c r="B208" s="2" t="str">
        <x:v>INV00007</x:v>
      </x:c>
      <x:c r="C208" s="2" t="str">
        <x:v>C039</x:v>
      </x:c>
      <x:c r="D208" s="10" t="d">
        <x:v>2026-06-16T00:00:00.000Z</x:v>
      </x:c>
      <x:c r="E208" s="11" t="n">
        <x:v>1355.24</x:v>
      </x:c>
    </x:row>
    <x:row r="209" ht="23" customHeight="1">
      <x:c r="A209" s="2" t="str">
        <x:v>P00043</x:v>
      </x:c>
      <x:c r="B209" s="2" t="str">
        <x:v>INV00052</x:v>
      </x:c>
      <x:c r="C209" s="2" t="str">
        <x:v>C036</x:v>
      </x:c>
      <x:c r="D209" s="10" t="d">
        <x:v>2026-06-16T00:00:00.000Z</x:v>
      </x:c>
      <x:c r="E209" s="11" t="n">
        <x:v>2967.13</x:v>
      </x:c>
    </x:row>
    <x:row r="210" ht="23" customHeight="1">
      <x:c r="A210" s="2" t="str">
        <x:v>P00247</x:v>
      </x:c>
      <x:c r="B210" s="2" t="str">
        <x:v>INV00282</x:v>
      </x:c>
      <x:c r="C210" s="2" t="str">
        <x:v>C031</x:v>
      </x:c>
      <x:c r="D210" s="10" t="d">
        <x:v>2026-06-16T00:00:00.000Z</x:v>
      </x:c>
      <x:c r="E210" s="11" t="n">
        <x:v>1830.91</x:v>
      </x:c>
    </x:row>
    <x:row r="211" ht="23" customHeight="1">
      <x:c r="A211" s="2" t="str">
        <x:v>P00309</x:v>
      </x:c>
      <x:c r="B211" s="2" t="str">
        <x:v>INV00355</x:v>
      </x:c>
      <x:c r="C211" s="2" t="str">
        <x:v>C028</x:v>
      </x:c>
      <x:c r="D211" s="10" t="d">
        <x:v>2026-06-16T00:00:00.000Z</x:v>
      </x:c>
      <x:c r="E211" s="11" t="n">
        <x:v>5368.34</x:v>
      </x:c>
    </x:row>
    <x:row r="212" ht="23" customHeight="1">
      <x:c r="A212" s="2" t="str">
        <x:v>P00341</x:v>
      </x:c>
      <x:c r="B212" s="2" t="str">
        <x:v>INV00386</x:v>
      </x:c>
      <x:c r="C212" s="2" t="str">
        <x:v>C024</x:v>
      </x:c>
      <x:c r="D212" s="10" t="d">
        <x:v>2026-06-16T00:00:00.000Z</x:v>
      </x:c>
      <x:c r="E212" s="11" t="n">
        <x:v>11750.5</x:v>
      </x:c>
    </x:row>
    <x:row r="213" ht="23" customHeight="1">
      <x:c r="A213" s="2" t="str">
        <x:v>P00425</x:v>
      </x:c>
      <x:c r="B213" s="2" t="str">
        <x:v>INV00480</x:v>
      </x:c>
      <x:c r="C213" s="2" t="str">
        <x:v>C034</x:v>
      </x:c>
      <x:c r="D213" s="10" t="d">
        <x:v>2026-06-16T00:00:00.000Z</x:v>
      </x:c>
      <x:c r="E213" s="11" t="n">
        <x:v>16012.57</x:v>
      </x:c>
    </x:row>
    <x:row r="214" ht="23" customHeight="1">
      <x:c r="A214" s="2" t="str">
        <x:v>P00036</x:v>
      </x:c>
      <x:c r="B214" s="2" t="str">
        <x:v>INV00047</x:v>
      </x:c>
      <x:c r="C214" s="2" t="str">
        <x:v>C022</x:v>
      </x:c>
      <x:c r="D214" s="10" t="d">
        <x:v>2026-06-17T00:00:00.000Z</x:v>
      </x:c>
      <x:c r="E214" s="11" t="n">
        <x:v>3694.37</x:v>
      </x:c>
    </x:row>
    <x:row r="215" ht="23" customHeight="1">
      <x:c r="A215" s="2" t="str">
        <x:v>P00095</x:v>
      </x:c>
      <x:c r="B215" s="2" t="str">
        <x:v>INV00104</x:v>
      </x:c>
      <x:c r="C215" s="2" t="str">
        <x:v>C017</x:v>
      </x:c>
      <x:c r="D215" s="10" t="d">
        <x:v>2026-06-17T00:00:00.000Z</x:v>
      </x:c>
      <x:c r="E215" s="11" t="n">
        <x:v>5381.74</x:v>
      </x:c>
    </x:row>
    <x:row r="216" ht="23" customHeight="1">
      <x:c r="A216" s="2" t="str">
        <x:v>P00355</x:v>
      </x:c>
      <x:c r="B216" s="2" t="str">
        <x:v>INV00396</x:v>
      </x:c>
      <x:c r="C216" s="2" t="str">
        <x:v>C001</x:v>
      </x:c>
      <x:c r="D216" s="10" t="d">
        <x:v>2026-06-17T00:00:00.000Z</x:v>
      </x:c>
      <x:c r="E216" s="11" t="n">
        <x:v>7216.52</x:v>
      </x:c>
    </x:row>
    <x:row r="217" ht="23" customHeight="1">
      <x:c r="A217" s="2" t="str">
        <x:v>P00025</x:v>
      </x:c>
      <x:c r="B217" s="2" t="str">
        <x:v>INV00034</x:v>
      </x:c>
      <x:c r="C217" s="2" t="str">
        <x:v>C026</x:v>
      </x:c>
      <x:c r="D217" s="10" t="d">
        <x:v>2026-06-18T00:00:00.000Z</x:v>
      </x:c>
      <x:c r="E217" s="11" t="n">
        <x:v>7443.28</x:v>
      </x:c>
    </x:row>
    <x:row r="218" ht="23" customHeight="1">
      <x:c r="A218" s="2" t="str">
        <x:v>P00159</x:v>
      </x:c>
      <x:c r="B218" s="2" t="str">
        <x:v>INV00186</x:v>
      </x:c>
      <x:c r="C218" s="2" t="str">
        <x:v>C007</x:v>
      </x:c>
      <x:c r="D218" s="10" t="d">
        <x:v>2026-06-18T00:00:00.000Z</x:v>
      </x:c>
      <x:c r="E218" s="11" t="n">
        <x:v>14388.34</x:v>
      </x:c>
    </x:row>
    <x:row r="219" ht="23" customHeight="1">
      <x:c r="A219" s="2" t="str">
        <x:v>P00415</x:v>
      </x:c>
      <x:c r="B219" s="2" t="str">
        <x:v>INV00469</x:v>
      </x:c>
      <x:c r="C219" s="2" t="str">
        <x:v>C025</x:v>
      </x:c>
      <x:c r="D219" s="10" t="d">
        <x:v>2026-06-18T00:00:00.000Z</x:v>
      </x:c>
      <x:c r="E219" s="11" t="n">
        <x:v>6453.64</x:v>
      </x:c>
    </x:row>
    <x:row r="220" ht="23" customHeight="1">
      <x:c r="A220" s="2" t="str">
        <x:v>P00011</x:v>
      </x:c>
      <x:c r="B220" s="2" t="str">
        <x:v>INV00016</x:v>
      </x:c>
      <x:c r="C220" s="2" t="str">
        <x:v>C015</x:v>
      </x:c>
      <x:c r="D220" s="10" t="d">
        <x:v>2026-06-19T00:00:00.000Z</x:v>
      </x:c>
      <x:c r="E220" s="11" t="n">
        <x:v>4568.47</x:v>
      </x:c>
    </x:row>
    <x:row r="221" ht="23" customHeight="1">
      <x:c r="A221" s="2" t="str">
        <x:v>P00056</x:v>
      </x:c>
      <x:c r="B221" s="2" t="str">
        <x:v>INV00064</x:v>
      </x:c>
      <x:c r="C221" s="2" t="str">
        <x:v>C019</x:v>
      </x:c>
      <x:c r="D221" s="10" t="d">
        <x:v>2026-06-19T00:00:00.000Z</x:v>
      </x:c>
      <x:c r="E221" s="11" t="n">
        <x:v>2100.76</x:v>
      </x:c>
    </x:row>
    <x:row r="222" ht="23" customHeight="1">
      <x:c r="A222" s="2" t="str">
        <x:v>P00061</x:v>
      </x:c>
      <x:c r="B222" s="2" t="str">
        <x:v>INV00068</x:v>
      </x:c>
      <x:c r="C222" s="2" t="str">
        <x:v>C022</x:v>
      </x:c>
      <x:c r="D222" s="10" t="d">
        <x:v>2026-06-19T00:00:00.000Z</x:v>
      </x:c>
      <x:c r="E222" s="11" t="n">
        <x:v>7786.18</x:v>
      </x:c>
    </x:row>
    <x:row r="223" ht="23" customHeight="1">
      <x:c r="A223" s="2" t="str">
        <x:v>P00242</x:v>
      </x:c>
      <x:c r="B223" s="2" t="str">
        <x:v>INV00275</x:v>
      </x:c>
      <x:c r="C223" s="2" t="str">
        <x:v>C033</x:v>
      </x:c>
      <x:c r="D223" s="10" t="d">
        <x:v>2026-06-19T00:00:00.000Z</x:v>
      </x:c>
      <x:c r="E223" s="11" t="n">
        <x:v>15370.18</x:v>
      </x:c>
    </x:row>
    <x:row r="224" ht="23" customHeight="1">
      <x:c r="A224" s="2" t="str">
        <x:v>P00420</x:v>
      </x:c>
      <x:c r="B224" s="2" t="str">
        <x:v>INV00474</x:v>
      </x:c>
      <x:c r="C224" s="2" t="str">
        <x:v>C023</x:v>
      </x:c>
      <x:c r="D224" s="10" t="d">
        <x:v>2026-06-19T00:00:00.000Z</x:v>
      </x:c>
      <x:c r="E224" s="11" t="n">
        <x:v>6730.49</x:v>
      </x:c>
    </x:row>
    <x:row r="225" ht="23" customHeight="1">
      <x:c r="A225" s="2" t="str">
        <x:v>P00073</x:v>
      </x:c>
      <x:c r="B225" s="2" t="str">
        <x:v>INV00081</x:v>
      </x:c>
      <x:c r="C225" s="2" t="str">
        <x:v>C035</x:v>
      </x:c>
      <x:c r="D225" s="10" t="d">
        <x:v>2026-06-21T00:00:00.000Z</x:v>
      </x:c>
      <x:c r="E225" s="11" t="n">
        <x:v>987.17</x:v>
      </x:c>
    </x:row>
    <x:row r="226" ht="23" customHeight="1">
      <x:c r="A226" s="2" t="str">
        <x:v>P00082</x:v>
      </x:c>
      <x:c r="B226" s="2" t="str">
        <x:v>INV00088</x:v>
      </x:c>
      <x:c r="C226" s="2" t="str">
        <x:v>C026</x:v>
      </x:c>
      <x:c r="D226" s="10" t="d">
        <x:v>2026-06-21T00:00:00.000Z</x:v>
      </x:c>
      <x:c r="E226" s="11" t="n">
        <x:v>11586.22</x:v>
      </x:c>
    </x:row>
    <x:row r="227" ht="23" customHeight="1">
      <x:c r="A227" s="2" t="str">
        <x:v>P00142</x:v>
      </x:c>
      <x:c r="B227" s="2" t="str">
        <x:v>INV00161</x:v>
      </x:c>
      <x:c r="C227" s="2" t="str">
        <x:v>C031</x:v>
      </x:c>
      <x:c r="D227" s="10" t="d">
        <x:v>2026-06-21T00:00:00.000Z</x:v>
      </x:c>
      <x:c r="E227" s="11" t="n">
        <x:v>18906.04</x:v>
      </x:c>
    </x:row>
    <x:row r="228" ht="23" customHeight="1">
      <x:c r="A228" s="2" t="str">
        <x:v>P00289</x:v>
      </x:c>
      <x:c r="B228" s="2" t="str">
        <x:v>INV00336</x:v>
      </x:c>
      <x:c r="C228" s="2" t="str">
        <x:v>C020</x:v>
      </x:c>
      <x:c r="D228" s="10" t="d">
        <x:v>2026-06-21T00:00:00.000Z</x:v>
      </x:c>
      <x:c r="E228" s="11" t="n">
        <x:v>7355.91</x:v>
      </x:c>
    </x:row>
    <x:row r="229" ht="23" customHeight="1">
      <x:c r="A229" s="2" t="str">
        <x:v>P00410</x:v>
      </x:c>
      <x:c r="B229" s="2" t="str">
        <x:v>INV00465</x:v>
      </x:c>
      <x:c r="C229" s="2" t="str">
        <x:v>C039</x:v>
      </x:c>
      <x:c r="D229" s="10" t="d">
        <x:v>2026-06-21T00:00:00.000Z</x:v>
      </x:c>
      <x:c r="E229" s="11" t="n">
        <x:v>11106.29</x:v>
      </x:c>
    </x:row>
    <x:row r="230" ht="23" customHeight="1">
      <x:c r="A230" s="2" t="str">
        <x:v>P00060</x:v>
      </x:c>
      <x:c r="B230" s="2" t="str">
        <x:v>INV00067</x:v>
      </x:c>
      <x:c r="C230" s="2" t="str">
        <x:v>C015</x:v>
      </x:c>
      <x:c r="D230" s="10" t="d">
        <x:v>2026-06-22T00:00:00.000Z</x:v>
      </x:c>
      <x:c r="E230" s="11" t="n">
        <x:v>5228.2</x:v>
      </x:c>
    </x:row>
    <x:row r="231" ht="23" customHeight="1">
      <x:c r="A231" s="2" t="str">
        <x:v>P00153</x:v>
      </x:c>
      <x:c r="B231" s="2" t="str">
        <x:v>INV00179</x:v>
      </x:c>
      <x:c r="C231" s="2" t="str">
        <x:v>C022</x:v>
      </x:c>
      <x:c r="D231" s="10" t="d">
        <x:v>2026-06-22T00:00:00.000Z</x:v>
      </x:c>
      <x:c r="E231" s="11" t="n">
        <x:v>9609.01</x:v>
      </x:c>
    </x:row>
    <x:row r="232" ht="23" customHeight="1">
      <x:c r="A232" s="2" t="str">
        <x:v>P00229</x:v>
      </x:c>
      <x:c r="B232" s="2" t="str">
        <x:v>INV00266</x:v>
      </x:c>
      <x:c r="C232" s="2" t="str">
        <x:v>C033</x:v>
      </x:c>
      <x:c r="D232" s="10" t="d">
        <x:v>2026-06-22T00:00:00.000Z</x:v>
      </x:c>
      <x:c r="E232" s="11" t="n">
        <x:v>4813.13</x:v>
      </x:c>
    </x:row>
    <x:row r="233" ht="23" customHeight="1">
      <x:c r="A233" s="2" t="str">
        <x:v>P00291</x:v>
      </x:c>
      <x:c r="B233" s="2" t="str">
        <x:v>INV00339</x:v>
      </x:c>
      <x:c r="C233" s="2" t="str">
        <x:v>C023</x:v>
      </x:c>
      <x:c r="D233" s="10" t="d">
        <x:v>2026-06-22T00:00:00.000Z</x:v>
      </x:c>
      <x:c r="E233" s="11" t="n">
        <x:v>17500.3</x:v>
      </x:c>
    </x:row>
    <x:row r="234" ht="23" customHeight="1">
      <x:c r="A234" s="2" t="str">
        <x:v>P00338</x:v>
      </x:c>
      <x:c r="B234" s="2" t="str">
        <x:v>INV00383</x:v>
      </x:c>
      <x:c r="C234" s="2" t="str">
        <x:v>C011</x:v>
      </x:c>
      <x:c r="D234" s="10" t="d">
        <x:v>2026-06-22T00:00:00.000Z</x:v>
      </x:c>
      <x:c r="E234" s="11" t="n">
        <x:v>12037.72</x:v>
      </x:c>
    </x:row>
    <x:row r="235" ht="23" customHeight="1">
      <x:c r="A235" s="2" t="str">
        <x:v>P00349</x:v>
      </x:c>
      <x:c r="B235" s="2" t="str">
        <x:v>INV00392</x:v>
      </x:c>
      <x:c r="C235" s="2" t="str">
        <x:v>C006</x:v>
      </x:c>
      <x:c r="D235" s="10" t="d">
        <x:v>2026-06-23T00:00:00.000Z</x:v>
      </x:c>
      <x:c r="E235" s="11" t="n">
        <x:v>17676.65</x:v>
      </x:c>
    </x:row>
    <x:row r="236" ht="23" customHeight="1">
      <x:c r="A236" s="2" t="str">
        <x:v>P00014</x:v>
      </x:c>
      <x:c r="B236" s="2" t="str">
        <x:v>INV00019</x:v>
      </x:c>
      <x:c r="C236" s="2" t="str">
        <x:v>C033</x:v>
      </x:c>
      <x:c r="D236" s="10" t="d">
        <x:v>2026-06-25T00:00:00.000Z</x:v>
      </x:c>
      <x:c r="E236" s="11" t="n">
        <x:v>13595.52</x:v>
      </x:c>
    </x:row>
    <x:row r="237" ht="23" customHeight="1">
      <x:c r="A237" s="2" t="str">
        <x:v>P00323</x:v>
      </x:c>
      <x:c r="B237" s="2" t="str">
        <x:v>INV00368</x:v>
      </x:c>
      <x:c r="C237" s="2" t="str">
        <x:v>C011</x:v>
      </x:c>
      <x:c r="D237" s="10" t="d">
        <x:v>2026-06-25T00:00:00.000Z</x:v>
      </x:c>
      <x:c r="E237" s="11" t="n">
        <x:v>4373.34</x:v>
      </x:c>
    </x:row>
    <x:row r="238" ht="23" customHeight="1">
      <x:c r="A238" s="2" t="str">
        <x:v>P00053</x:v>
      </x:c>
      <x:c r="B238" s="2" t="str">
        <x:v>INV00061</x:v>
      </x:c>
      <x:c r="C238" s="2" t="str">
        <x:v>C034</x:v>
      </x:c>
      <x:c r="D238" s="10" t="d">
        <x:v>2026-06-26T00:00:00.000Z</x:v>
      </x:c>
      <x:c r="E238" s="11" t="n">
        <x:v>9404.38</x:v>
      </x:c>
    </x:row>
    <x:row r="239" ht="23" customHeight="1">
      <x:c r="A239" s="2" t="str">
        <x:v>P00252</x:v>
      </x:c>
      <x:c r="B239" s="2" t="str">
        <x:v>INV00289</x:v>
      </x:c>
      <x:c r="C239" s="2" t="str">
        <x:v>C007</x:v>
      </x:c>
      <x:c r="D239" s="10" t="d">
        <x:v>2026-06-26T00:00:00.000Z</x:v>
      </x:c>
      <x:c r="E239" s="11" t="n">
        <x:v>9991.86</x:v>
      </x:c>
    </x:row>
    <x:row r="240" ht="23" customHeight="1">
      <x:c r="A240" s="2" t="str">
        <x:v>P00260</x:v>
      </x:c>
      <x:c r="B240" s="2" t="str">
        <x:v>INV00299</x:v>
      </x:c>
      <x:c r="C240" s="2" t="str">
        <x:v>C034</x:v>
      </x:c>
      <x:c r="D240" s="10" t="d">
        <x:v>2026-06-26T00:00:00.000Z</x:v>
      </x:c>
      <x:c r="E240" s="11" t="n">
        <x:v>6756.63</x:v>
      </x:c>
    </x:row>
    <x:row r="241" ht="23" customHeight="1">
      <x:c r="A241" s="2" t="str">
        <x:v>P00015</x:v>
      </x:c>
      <x:c r="B241" s="2" t="str">
        <x:v>INV00020</x:v>
      </x:c>
      <x:c r="C241" s="2" t="str">
        <x:v>C014</x:v>
      </x:c>
      <x:c r="D241" s="10" t="d">
        <x:v>2026-06-27T00:00:00.000Z</x:v>
      </x:c>
      <x:c r="E241" s="11" t="n">
        <x:v>382.57</x:v>
      </x:c>
    </x:row>
    <x:row r="242" ht="23" customHeight="1">
      <x:c r="A242" s="2" t="str">
        <x:v>P00109</x:v>
      </x:c>
      <x:c r="B242" s="2" t="str">
        <x:v>INV00120</x:v>
      </x:c>
      <x:c r="C242" s="2" t="str">
        <x:v>C016</x:v>
      </x:c>
      <x:c r="D242" s="10" t="d">
        <x:v>2026-06-27T00:00:00.000Z</x:v>
      </x:c>
      <x:c r="E242" s="11" t="n">
        <x:v>3469.75</x:v>
      </x:c>
    </x:row>
    <x:row r="243" ht="23" customHeight="1">
      <x:c r="A243" s="2" t="str">
        <x:v>P00215</x:v>
      </x:c>
      <x:c r="B243" s="2" t="str">
        <x:v>INV00252</x:v>
      </x:c>
      <x:c r="C243" s="2" t="str">
        <x:v>C026</x:v>
      </x:c>
      <x:c r="D243" s="10" t="d">
        <x:v>2026-06-27T00:00:00.000Z</x:v>
      </x:c>
      <x:c r="E243" s="11" t="n">
        <x:v>6523.37</x:v>
      </x:c>
    </x:row>
    <x:row r="244" ht="23" customHeight="1">
      <x:c r="A244" s="2" t="str">
        <x:v>P00246</x:v>
      </x:c>
      <x:c r="B244" s="2" t="str">
        <x:v>INV00280</x:v>
      </x:c>
      <x:c r="C244" s="2" t="str">
        <x:v>C002</x:v>
      </x:c>
      <x:c r="D244" s="10" t="d">
        <x:v>2026-06-27T00:00:00.000Z</x:v>
      </x:c>
      <x:c r="E244" s="11" t="n">
        <x:v>13504.9</x:v>
      </x:c>
    </x:row>
    <x:row r="245" ht="23" customHeight="1">
      <x:c r="A245" s="2" t="str">
        <x:v>P00267</x:v>
      </x:c>
      <x:c r="B245" s="2" t="str">
        <x:v>INV00309</x:v>
      </x:c>
      <x:c r="C245" s="2" t="str">
        <x:v>C028</x:v>
      </x:c>
      <x:c r="D245" s="10" t="d">
        <x:v>2026-06-27T00:00:00.000Z</x:v>
      </x:c>
      <x:c r="E245" s="11" t="n">
        <x:v>6992.98</x:v>
      </x:c>
    </x:row>
    <x:row r="246" ht="23" customHeight="1">
      <x:c r="A246" s="2" t="str">
        <x:v>P00069</x:v>
      </x:c>
      <x:c r="B246" s="2" t="str">
        <x:v>INV00078</x:v>
      </x:c>
      <x:c r="C246" s="2" t="str">
        <x:v>C032</x:v>
      </x:c>
      <x:c r="D246" s="10" t="d">
        <x:v>2026-06-28T00:00:00.000Z</x:v>
      </x:c>
      <x:c r="E246" s="11" t="n">
        <x:v>3644.63</x:v>
      </x:c>
    </x:row>
    <x:row r="247" ht="23" customHeight="1">
      <x:c r="A247" s="2" t="str">
        <x:v>P00116</x:v>
      </x:c>
      <x:c r="B247" s="2" t="str">
        <x:v>INV00129</x:v>
      </x:c>
      <x:c r="C247" s="2" t="str">
        <x:v>C021</x:v>
      </x:c>
      <x:c r="D247" s="10" t="d">
        <x:v>2026-06-28T00:00:00.000Z</x:v>
      </x:c>
      <x:c r="E247" s="11" t="n">
        <x:v>2769.9</x:v>
      </x:c>
    </x:row>
    <x:row r="248" ht="23" customHeight="1">
      <x:c r="A248" s="2" t="str">
        <x:v>P00373</x:v>
      </x:c>
      <x:c r="B248" s="2" t="str">
        <x:v>INV00420</x:v>
      </x:c>
      <x:c r="C248" s="2" t="str">
        <x:v>C024</x:v>
      </x:c>
      <x:c r="D248" s="10" t="d">
        <x:v>2026-06-28T00:00:00.000Z</x:v>
      </x:c>
      <x:c r="E248" s="11" t="n">
        <x:v>19993.72</x:v>
      </x:c>
    </x:row>
    <x:row r="249" ht="23" customHeight="1">
      <x:c r="A249" s="2" t="str">
        <x:v>P00264</x:v>
      </x:c>
      <x:c r="B249" s="2" t="str">
        <x:v>INV00306</x:v>
      </x:c>
      <x:c r="C249" s="2" t="str">
        <x:v>C008</x:v>
      </x:c>
      <x:c r="D249" s="10" t="d">
        <x:v>2026-06-29T00:00:00.000Z</x:v>
      </x:c>
      <x:c r="E249" s="11" t="n">
        <x:v>2218.38</x:v>
      </x:c>
    </x:row>
    <x:row r="250" ht="23" customHeight="1">
      <x:c r="A250" s="2" t="str">
        <x:v>P00380</x:v>
      </x:c>
      <x:c r="B250" s="2" t="str">
        <x:v>INV00428</x:v>
      </x:c>
      <x:c r="C250" s="2" t="str">
        <x:v>C023</x:v>
      </x:c>
      <x:c r="D250" s="10" t="d">
        <x:v>2026-06-29T00:00:00.000Z</x:v>
      </x:c>
      <x:c r="E250" s="11" t="n">
        <x:v>2198.96</x:v>
      </x:c>
    </x:row>
    <x:row r="251" ht="23" customHeight="1">
      <x:c r="A251" s="2" t="str">
        <x:v>P00062</x:v>
      </x:c>
      <x:c r="B251" s="2" t="str">
        <x:v>INV00072</x:v>
      </x:c>
      <x:c r="C251" s="2" t="str">
        <x:v>C014</x:v>
      </x:c>
      <x:c r="D251" s="10" t="d">
        <x:v>2026-06-30T00:00:00.000Z</x:v>
      </x:c>
      <x:c r="E251" s="11" t="n">
        <x:v>14819.99</x:v>
      </x:c>
    </x:row>
    <x:row r="252" ht="23" customHeight="1">
      <x:c r="A252" s="2" t="str">
        <x:v>P00296</x:v>
      </x:c>
      <x:c r="B252" s="2" t="str">
        <x:v>INV00342</x:v>
      </x:c>
      <x:c r="C252" s="2" t="str">
        <x:v>C007</x:v>
      </x:c>
      <x:c r="D252" s="10" t="d">
        <x:v>2026-06-30T00:00:00.000Z</x:v>
      </x:c>
      <x:c r="E252" s="11" t="n">
        <x:v>7191.44</x:v>
      </x:c>
    </x:row>
    <x:row r="253" ht="23" customHeight="1">
      <x:c r="A253" s="2" t="str">
        <x:v>P00055</x:v>
      </x:c>
      <x:c r="B253" s="2" t="str">
        <x:v>INV00062</x:v>
      </x:c>
      <x:c r="C253" s="2" t="str">
        <x:v>C035</x:v>
      </x:c>
      <x:c r="D253" s="10" t="d">
        <x:v>2026-07-01T00:00:00.000Z</x:v>
      </x:c>
      <x:c r="E253" s="11" t="n">
        <x:v>19332.16</x:v>
      </x:c>
    </x:row>
    <x:row r="254" ht="23" customHeight="1">
      <x:c r="A254" s="2" t="str">
        <x:v>P00077</x:v>
      </x:c>
      <x:c r="B254" s="2" t="str">
        <x:v>INV00083</x:v>
      </x:c>
      <x:c r="C254" s="2" t="str">
        <x:v>C031</x:v>
      </x:c>
      <x:c r="D254" s="10" t="d">
        <x:v>2026-07-01T00:00:00.000Z</x:v>
      </x:c>
      <x:c r="E254" s="11" t="n">
        <x:v>2425.84</x:v>
      </x:c>
    </x:row>
    <x:row r="255" ht="23" customHeight="1">
      <x:c r="A255" s="2" t="str">
        <x:v>P00257</x:v>
      </x:c>
      <x:c r="B255" s="2" t="str">
        <x:v>INV00296</x:v>
      </x:c>
      <x:c r="C255" s="2" t="str">
        <x:v>C004</x:v>
      </x:c>
      <x:c r="D255" s="10" t="d">
        <x:v>2026-07-01T00:00:00.000Z</x:v>
      </x:c>
      <x:c r="E255" s="11" t="n">
        <x:v>4202.86</x:v>
      </x:c>
    </x:row>
    <x:row r="256" ht="23" customHeight="1">
      <x:c r="A256" s="2" t="str">
        <x:v>P00336</x:v>
      </x:c>
      <x:c r="B256" s="2" t="str">
        <x:v>INV00381</x:v>
      </x:c>
      <x:c r="C256" s="2" t="str">
        <x:v>C029</x:v>
      </x:c>
      <x:c r="D256" s="10" t="d">
        <x:v>2026-07-01T00:00:00.000Z</x:v>
      </x:c>
      <x:c r="E256" s="11" t="n">
        <x:v>3652.7</x:v>
      </x:c>
    </x:row>
    <x:row r="257" ht="23" customHeight="1">
      <x:c r="A257" s="2" t="str">
        <x:v>P00106</x:v>
      </x:c>
      <x:c r="B257" s="2" t="str">
        <x:v>INV00115</x:v>
      </x:c>
      <x:c r="C257" s="2" t="str">
        <x:v>C030</x:v>
      </x:c>
      <x:c r="D257" s="10" t="d">
        <x:v>2026-07-02T00:00:00.000Z</x:v>
      </x:c>
      <x:c r="E257" s="11" t="n">
        <x:v>5780</x:v>
      </x:c>
    </x:row>
    <x:row r="258" ht="23" customHeight="1">
      <x:c r="A258" s="2" t="str">
        <x:v>P00232</x:v>
      </x:c>
      <x:c r="B258" s="2" t="str">
        <x:v>INV00268</x:v>
      </x:c>
      <x:c r="C258" s="2" t="str">
        <x:v>C033</x:v>
      </x:c>
      <x:c r="D258" s="10" t="d">
        <x:v>2026-07-02T00:00:00.000Z</x:v>
      </x:c>
      <x:c r="E258" s="11" t="n">
        <x:v>7554.3</x:v>
      </x:c>
    </x:row>
    <x:row r="259" ht="23" customHeight="1">
      <x:c r="A259" s="2" t="str">
        <x:v>P00265</x:v>
      </x:c>
      <x:c r="B259" s="2" t="str">
        <x:v>INV00308</x:v>
      </x:c>
      <x:c r="C259" s="2" t="str">
        <x:v>C027</x:v>
      </x:c>
      <x:c r="D259" s="10" t="d">
        <x:v>2026-07-03T00:00:00.000Z</x:v>
      </x:c>
      <x:c r="E259" s="11" t="n">
        <x:v>4017.55</x:v>
      </x:c>
    </x:row>
    <x:row r="260" ht="23" customHeight="1">
      <x:c r="A260" s="2" t="str">
        <x:v>P00168</x:v>
      </x:c>
      <x:c r="B260" s="2" t="str">
        <x:v>INV00196</x:v>
      </x:c>
      <x:c r="C260" s="2" t="str">
        <x:v>C005</x:v>
      </x:c>
      <x:c r="D260" s="10" t="d">
        <x:v>2026-07-04T00:00:00.000Z</x:v>
      </x:c>
      <x:c r="E260" s="11" t="n">
        <x:v>9400.24</x:v>
      </x:c>
    </x:row>
    <x:row r="261" ht="23" customHeight="1">
      <x:c r="A261" s="2" t="str">
        <x:v>P00422</x:v>
      </x:c>
      <x:c r="B261" s="2" t="str">
        <x:v>INV00475</x:v>
      </x:c>
      <x:c r="C261" s="2" t="str">
        <x:v>C010</x:v>
      </x:c>
      <x:c r="D261" s="10" t="d">
        <x:v>2026-07-04T00:00:00.000Z</x:v>
      </x:c>
      <x:c r="E261" s="11" t="n">
        <x:v>4179.8</x:v>
      </x:c>
    </x:row>
    <x:row r="262" ht="23" customHeight="1">
      <x:c r="A262" s="2" t="str">
        <x:v>P00010</x:v>
      </x:c>
      <x:c r="B262" s="2" t="str">
        <x:v>INV00015</x:v>
      </x:c>
      <x:c r="C262" s="2" t="str">
        <x:v>C029</x:v>
      </x:c>
      <x:c r="D262" s="10" t="d">
        <x:v>2026-07-05T00:00:00.000Z</x:v>
      </x:c>
      <x:c r="E262" s="11" t="n">
        <x:v>3930.89</x:v>
      </x:c>
    </x:row>
    <x:row r="263" ht="23" customHeight="1">
      <x:c r="A263" s="2" t="str">
        <x:v>P00097</x:v>
      </x:c>
      <x:c r="B263" s="2" t="str">
        <x:v>INV00106</x:v>
      </x:c>
      <x:c r="C263" s="2" t="str">
        <x:v>C008</x:v>
      </x:c>
      <x:c r="D263" s="10" t="d">
        <x:v>2026-07-05T00:00:00.000Z</x:v>
      </x:c>
      <x:c r="E263" s="11" t="n">
        <x:v>6284.26</x:v>
      </x:c>
    </x:row>
    <x:row r="264" ht="23" customHeight="1">
      <x:c r="A264" s="2" t="str">
        <x:v>P00214</x:v>
      </x:c>
      <x:c r="B264" s="2" t="str">
        <x:v>INV00250</x:v>
      </x:c>
      <x:c r="C264" s="2" t="str">
        <x:v>C015</x:v>
      </x:c>
      <x:c r="D264" s="10" t="d">
        <x:v>2026-07-05T00:00:00.000Z</x:v>
      </x:c>
      <x:c r="E264" s="11" t="n">
        <x:v>19479.9</x:v>
      </x:c>
    </x:row>
    <x:row r="265" ht="23" customHeight="1">
      <x:c r="A265" s="2" t="str">
        <x:v>P00340</x:v>
      </x:c>
      <x:c r="B265" s="2" t="str">
        <x:v>INV00385</x:v>
      </x:c>
      <x:c r="C265" s="2" t="str">
        <x:v>C038</x:v>
      </x:c>
      <x:c r="D265" s="10" t="d">
        <x:v>2026-07-05T00:00:00.000Z</x:v>
      </x:c>
      <x:c r="E265" s="11" t="n">
        <x:v>10639.66</x:v>
      </x:c>
    </x:row>
    <x:row r="266" ht="23" customHeight="1">
      <x:c r="A266" s="2" t="str">
        <x:v>P00169</x:v>
      </x:c>
      <x:c r="B266" s="2" t="str">
        <x:v>INV00197</x:v>
      </x:c>
      <x:c r="C266" s="2" t="str">
        <x:v>C022</x:v>
      </x:c>
      <x:c r="D266" s="10" t="d">
        <x:v>2026-07-06T00:00:00.000Z</x:v>
      </x:c>
      <x:c r="E266" s="11" t="n">
        <x:v>18140.3</x:v>
      </x:c>
    </x:row>
    <x:row r="267" ht="23" customHeight="1">
      <x:c r="A267" s="2" t="str">
        <x:v>P00411</x:v>
      </x:c>
      <x:c r="B267" s="2" t="str">
        <x:v>INV00466</x:v>
      </x:c>
      <x:c r="C267" s="2" t="str">
        <x:v>C038</x:v>
      </x:c>
      <x:c r="D267" s="10" t="d">
        <x:v>2026-07-06T00:00:00.000Z</x:v>
      </x:c>
      <x:c r="E267" s="11" t="n">
        <x:v>19283.06</x:v>
      </x:c>
    </x:row>
    <x:row r="268" ht="23" customHeight="1">
      <x:c r="A268" s="2" t="str">
        <x:v>P00039</x:v>
      </x:c>
      <x:c r="B268" s="2" t="str">
        <x:v>INV00049</x:v>
      </x:c>
      <x:c r="C268" s="2" t="str">
        <x:v>C008</x:v>
      </x:c>
      <x:c r="D268" s="10" t="d">
        <x:v>2026-07-07T00:00:00.000Z</x:v>
      </x:c>
      <x:c r="E268" s="11" t="n">
        <x:v>3158.32</x:v>
      </x:c>
    </x:row>
    <x:row r="269" ht="23" customHeight="1">
      <x:c r="A269" s="2" t="str">
        <x:v>P00187</x:v>
      </x:c>
      <x:c r="B269" s="2" t="str">
        <x:v>INV00216</x:v>
      </x:c>
      <x:c r="C269" s="2" t="str">
        <x:v>C040</x:v>
      </x:c>
      <x:c r="D269" s="10" t="d">
        <x:v>2026-07-07T00:00:00.000Z</x:v>
      </x:c>
      <x:c r="E269" s="11" t="n">
        <x:v>4978.25</x:v>
      </x:c>
    </x:row>
    <x:row r="270" ht="23" customHeight="1">
      <x:c r="A270" s="2" t="str">
        <x:v>P00321</x:v>
      </x:c>
      <x:c r="B270" s="2" t="str">
        <x:v>INV00367</x:v>
      </x:c>
      <x:c r="C270" s="2" t="str">
        <x:v>C022</x:v>
      </x:c>
      <x:c r="D270" s="10" t="d">
        <x:v>2026-07-07T00:00:00.000Z</x:v>
      </x:c>
      <x:c r="E270" s="11" t="n">
        <x:v>18073.1</x:v>
      </x:c>
    </x:row>
    <x:row r="271" ht="23" customHeight="1">
      <x:c r="A271" s="2" t="str">
        <x:v>P00020</x:v>
      </x:c>
      <x:c r="B271" s="2" t="str">
        <x:v>INV00027</x:v>
      </x:c>
      <x:c r="C271" s="2" t="str">
        <x:v>C029</x:v>
      </x:c>
      <x:c r="D271" s="10" t="d">
        <x:v>2026-07-08T00:00:00.000Z</x:v>
      </x:c>
      <x:c r="E271" s="11" t="n">
        <x:v>3657.62</x:v>
      </x:c>
    </x:row>
    <x:row r="272" ht="23" customHeight="1">
      <x:c r="A272" s="2" t="str">
        <x:v>P00319</x:v>
      </x:c>
      <x:c r="B272" s="2" t="str">
        <x:v>INV00365</x:v>
      </x:c>
      <x:c r="C272" s="2" t="str">
        <x:v>C014</x:v>
      </x:c>
      <x:c r="D272" s="10" t="d">
        <x:v>2026-07-08T00:00:00.000Z</x:v>
      </x:c>
      <x:c r="E272" s="11" t="n">
        <x:v>14660.52</x:v>
      </x:c>
    </x:row>
    <x:row r="273" ht="23" customHeight="1">
      <x:c r="A273" s="2" t="str">
        <x:v>P00238</x:v>
      </x:c>
      <x:c r="B273" s="2" t="str">
        <x:v>INV00273</x:v>
      </x:c>
      <x:c r="C273" s="2" t="str">
        <x:v>C037</x:v>
      </x:c>
      <x:c r="D273" s="10" t="d">
        <x:v>2026-07-09T00:00:00.000Z</x:v>
      </x:c>
      <x:c r="E273" s="11" t="n">
        <x:v>1429.94</x:v>
      </x:c>
    </x:row>
    <x:row r="274" ht="23" customHeight="1">
      <x:c r="A274" s="2" t="str">
        <x:v>P00317</x:v>
      </x:c>
      <x:c r="B274" s="2" t="str">
        <x:v>INV00363</x:v>
      </x:c>
      <x:c r="C274" s="2" t="str">
        <x:v>C021</x:v>
      </x:c>
      <x:c r="D274" s="10" t="d">
        <x:v>2026-07-09T00:00:00.000Z</x:v>
      </x:c>
      <x:c r="E274" s="11" t="n">
        <x:v>4400.45</x:v>
      </x:c>
    </x:row>
    <x:row r="275" ht="23" customHeight="1">
      <x:c r="A275" s="2" t="str">
        <x:v>P00131</x:v>
      </x:c>
      <x:c r="B275" s="2" t="str">
        <x:v>INV00146</x:v>
      </x:c>
      <x:c r="C275" s="2" t="str">
        <x:v>C008</x:v>
      </x:c>
      <x:c r="D275" s="10" t="d">
        <x:v>2026-07-10T00:00:00.000Z</x:v>
      </x:c>
      <x:c r="E275" s="11" t="n">
        <x:v>1043.74</x:v>
      </x:c>
    </x:row>
    <x:row r="276" ht="23" customHeight="1">
      <x:c r="A276" s="2" t="str">
        <x:v>P00046</x:v>
      </x:c>
      <x:c r="B276" s="2" t="str">
        <x:v>INV00055</x:v>
      </x:c>
      <x:c r="C276" s="2" t="str">
        <x:v>C010</x:v>
      </x:c>
      <x:c r="D276" s="10" t="d">
        <x:v>2026-07-11T00:00:00.000Z</x:v>
      </x:c>
      <x:c r="E276" s="11" t="n">
        <x:v>3584.95</x:v>
      </x:c>
    </x:row>
    <x:row r="277" ht="23" customHeight="1">
      <x:c r="A277" s="2" t="str">
        <x:v>P00151</x:v>
      </x:c>
      <x:c r="B277" s="2" t="str">
        <x:v>INV00173</x:v>
      </x:c>
      <x:c r="C277" s="2" t="str">
        <x:v>C028</x:v>
      </x:c>
      <x:c r="D277" s="10" t="d">
        <x:v>2026-07-11T00:00:00.000Z</x:v>
      </x:c>
      <x:c r="E277" s="11" t="n">
        <x:v>9432.19</x:v>
      </x:c>
    </x:row>
    <x:row r="278" ht="23" customHeight="1">
      <x:c r="A278" s="2" t="str">
        <x:v>P00419</x:v>
      </x:c>
      <x:c r="B278" s="2" t="str">
        <x:v>INV00473</x:v>
      </x:c>
      <x:c r="C278" s="2" t="str">
        <x:v>C024</x:v>
      </x:c>
      <x:c r="D278" s="10" t="d">
        <x:v>2026-07-11T00:00:00.000Z</x:v>
      </x:c>
      <x:c r="E278" s="11" t="n">
        <x:v>6816.75</x:v>
      </x:c>
    </x:row>
    <x:row r="279" ht="23" customHeight="1">
      <x:c r="A279" s="2" t="str">
        <x:v>P00394</x:v>
      </x:c>
      <x:c r="B279" s="2" t="str">
        <x:v>INV00439</x:v>
      </x:c>
      <x:c r="C279" s="2" t="str">
        <x:v>C035</x:v>
      </x:c>
      <x:c r="D279" s="10" t="d">
        <x:v>2026-07-12T00:00:00.000Z</x:v>
      </x:c>
      <x:c r="E279" s="11" t="n">
        <x:v>1804.61</x:v>
      </x:c>
    </x:row>
    <x:row r="280" ht="23" customHeight="1">
      <x:c r="A280" s="2" t="str">
        <x:v>P00258</x:v>
      </x:c>
      <x:c r="B280" s="2" t="str">
        <x:v>INV00297</x:v>
      </x:c>
      <x:c r="C280" s="2" t="str">
        <x:v>C014</x:v>
      </x:c>
      <x:c r="D280" s="10" t="d">
        <x:v>2026-07-13T00:00:00.000Z</x:v>
      </x:c>
      <x:c r="E280" s="11" t="n">
        <x:v>15653.24</x:v>
      </x:c>
    </x:row>
    <x:row r="281" ht="23" customHeight="1">
      <x:c r="A281" s="2" t="str">
        <x:v>P00121</x:v>
      </x:c>
      <x:c r="B281" s="2" t="str">
        <x:v>INV00138</x:v>
      </x:c>
      <x:c r="C281" s="2" t="str">
        <x:v>C009</x:v>
      </x:c>
      <x:c r="D281" s="10" t="d">
        <x:v>2026-07-14T00:00:00.000Z</x:v>
      </x:c>
      <x:c r="E281" s="11" t="n">
        <x:v>16139.26</x:v>
      </x:c>
    </x:row>
    <x:row r="282" ht="23" customHeight="1">
      <x:c r="A282" s="2" t="str">
        <x:v>P00135</x:v>
      </x:c>
      <x:c r="B282" s="2" t="str">
        <x:v>INV00150</x:v>
      </x:c>
      <x:c r="C282" s="2" t="str">
        <x:v>C027</x:v>
      </x:c>
      <x:c r="D282" s="10" t="d">
        <x:v>2026-07-15T00:00:00.000Z</x:v>
      </x:c>
      <x:c r="E282" s="11" t="n">
        <x:v>10831.5</x:v>
      </x:c>
    </x:row>
    <x:row r="283" ht="23" customHeight="1">
      <x:c r="A283" s="2" t="str">
        <x:v>P00203</x:v>
      </x:c>
      <x:c r="B283" s="2" t="str">
        <x:v>INV00235</x:v>
      </x:c>
      <x:c r="C283" s="2" t="str">
        <x:v>C009</x:v>
      </x:c>
      <x:c r="D283" s="10" t="d">
        <x:v>2026-07-15T00:00:00.000Z</x:v>
      </x:c>
      <x:c r="E283" s="11" t="n">
        <x:v>2874.62</x:v>
      </x:c>
    </x:row>
    <x:row r="284" ht="23" customHeight="1">
      <x:c r="A284" s="2" t="str">
        <x:v>P00248</x:v>
      </x:c>
      <x:c r="B284" s="2" t="str">
        <x:v>INV00284</x:v>
      </x:c>
      <x:c r="C284" s="2" t="str">
        <x:v>C013</x:v>
      </x:c>
      <x:c r="D284" s="10" t="d">
        <x:v>2026-07-15T00:00:00.000Z</x:v>
      </x:c>
      <x:c r="E284" s="11" t="n">
        <x:v>5939.7</x:v>
      </x:c>
    </x:row>
    <x:row r="285" ht="23" customHeight="1">
      <x:c r="A285" s="2" t="str">
        <x:v>P00316</x:v>
      </x:c>
      <x:c r="B285" s="2" t="str">
        <x:v>INV00361</x:v>
      </x:c>
      <x:c r="C285" s="2" t="str">
        <x:v>C008</x:v>
      </x:c>
      <x:c r="D285" s="10" t="d">
        <x:v>2026-07-15T00:00:00.000Z</x:v>
      </x:c>
      <x:c r="E285" s="11" t="n">
        <x:v>1773.32</x:v>
      </x:c>
    </x:row>
    <x:row r="286" ht="23" customHeight="1">
      <x:c r="A286" s="2" t="str">
        <x:v>P00397</x:v>
      </x:c>
      <x:c r="B286" s="2" t="str">
        <x:v>INV00444</x:v>
      </x:c>
      <x:c r="C286" s="2" t="str">
        <x:v>C018</x:v>
      </x:c>
      <x:c r="D286" s="10" t="d">
        <x:v>2026-07-17T00:00:00.000Z</x:v>
      </x:c>
      <x:c r="E286" s="11" t="n">
        <x:v>18096.36</x:v>
      </x:c>
    </x:row>
    <x:row r="287" ht="23" customHeight="1">
      <x:c r="A287" s="2" t="str">
        <x:v>P00161</x:v>
      </x:c>
      <x:c r="B287" s="2" t="str">
        <x:v>INV00188</x:v>
      </x:c>
      <x:c r="C287" s="2" t="str">
        <x:v>C025</x:v>
      </x:c>
      <x:c r="D287" s="10" t="d">
        <x:v>2026-07-18T00:00:00.000Z</x:v>
      </x:c>
      <x:c r="E287" s="11" t="n">
        <x:v>5094.21</x:v>
      </x:c>
    </x:row>
    <x:row r="288" ht="23" customHeight="1">
      <x:c r="A288" s="2" t="str">
        <x:v>P00108</x:v>
      </x:c>
      <x:c r="B288" s="2" t="str">
        <x:v>INV00117</x:v>
      </x:c>
      <x:c r="C288" s="2" t="str">
        <x:v>C018</x:v>
      </x:c>
      <x:c r="D288" s="10" t="d">
        <x:v>2026-07-19T00:00:00.000Z</x:v>
      </x:c>
      <x:c r="E288" s="11" t="n">
        <x:v>11430.93</x:v>
      </x:c>
    </x:row>
    <x:row r="289" ht="23" customHeight="1">
      <x:c r="A289" s="2" t="str">
        <x:v>P00333</x:v>
      </x:c>
      <x:c r="B289" s="2" t="str">
        <x:v>INV00378</x:v>
      </x:c>
      <x:c r="C289" s="2" t="str">
        <x:v>C019</x:v>
      </x:c>
      <x:c r="D289" s="10" t="d">
        <x:v>2026-07-19T00:00:00.000Z</x:v>
      </x:c>
      <x:c r="E289" s="11" t="n">
        <x:v>3813.85</x:v>
      </x:c>
    </x:row>
    <x:row r="290" ht="23" customHeight="1">
      <x:c r="A290" s="2" t="str">
        <x:v>P00366</x:v>
      </x:c>
      <x:c r="B290" s="2" t="str">
        <x:v>INV00408</x:v>
      </x:c>
      <x:c r="C290" s="2" t="str">
        <x:v>C004</x:v>
      </x:c>
      <x:c r="D290" s="10" t="d">
        <x:v>2026-07-19T00:00:00.000Z</x:v>
      </x:c>
      <x:c r="E290" s="11" t="n">
        <x:v>4790.19</x:v>
      </x:c>
    </x:row>
    <x:row r="291" ht="23" customHeight="1">
      <x:c r="A291" s="2" t="str">
        <x:v>P00102</x:v>
      </x:c>
      <x:c r="B291" s="2" t="str">
        <x:v>INV00113</x:v>
      </x:c>
      <x:c r="C291" s="2" t="str">
        <x:v>C011</x:v>
      </x:c>
      <x:c r="D291" s="10" t="d">
        <x:v>2026-07-20T00:00:00.000Z</x:v>
      </x:c>
      <x:c r="E291" s="11" t="n">
        <x:v>7585.39</x:v>
      </x:c>
    </x:row>
    <x:row r="292" ht="23" customHeight="1">
      <x:c r="A292" s="2" t="str">
        <x:v>P00101</x:v>
      </x:c>
      <x:c r="B292" s="2" t="str">
        <x:v>INV00110</x:v>
      </x:c>
      <x:c r="C292" s="2" t="str">
        <x:v>C029</x:v>
      </x:c>
      <x:c r="D292" s="10" t="d">
        <x:v>2026-07-21T00:00:00.000Z</x:v>
      </x:c>
      <x:c r="E292" s="11" t="n">
        <x:v>9426.5</x:v>
      </x:c>
    </x:row>
    <x:row r="293" ht="23" customHeight="1">
      <x:c r="A293" s="2" t="str">
        <x:v>P00122</x:v>
      </x:c>
      <x:c r="B293" s="2" t="str">
        <x:v>INV00139</x:v>
      </x:c>
      <x:c r="C293" s="2" t="str">
        <x:v>C029</x:v>
      </x:c>
      <x:c r="D293" s="10" t="d">
        <x:v>2026-07-21T00:00:00.000Z</x:v>
      </x:c>
      <x:c r="E293" s="11" t="n">
        <x:v>8332.33</x:v>
      </x:c>
    </x:row>
    <x:row r="294" ht="23" customHeight="1">
      <x:c r="A294" s="2" t="str">
        <x:v>P00182</x:v>
      </x:c>
      <x:c r="B294" s="2" t="str">
        <x:v>INV00212</x:v>
      </x:c>
      <x:c r="C294" s="2" t="str">
        <x:v>C026</x:v>
      </x:c>
      <x:c r="D294" s="10" t="d">
        <x:v>2026-07-22T00:00:00.000Z</x:v>
      </x:c>
      <x:c r="E294" s="11" t="n">
        <x:v>17036.97</x:v>
      </x:c>
    </x:row>
    <x:row r="295" ht="23" customHeight="1">
      <x:c r="A295" s="2" t="str">
        <x:v>P00234</x:v>
      </x:c>
      <x:c r="B295" s="2" t="str">
        <x:v>INV00270</x:v>
      </x:c>
      <x:c r="C295" s="2" t="str">
        <x:v>C022</x:v>
      </x:c>
      <x:c r="D295" s="10" t="d">
        <x:v>2026-07-22T00:00:00.000Z</x:v>
      </x:c>
      <x:c r="E295" s="11" t="n">
        <x:v>16514.44</x:v>
      </x:c>
    </x:row>
    <x:row r="296" ht="23" customHeight="1">
      <x:c r="A296" s="2" t="str">
        <x:v>P00330</x:v>
      </x:c>
      <x:c r="B296" s="2" t="str">
        <x:v>INV00375</x:v>
      </x:c>
      <x:c r="C296" s="2" t="str">
        <x:v>C040</x:v>
      </x:c>
      <x:c r="D296" s="10" t="d">
        <x:v>2026-07-22T00:00:00.000Z</x:v>
      </x:c>
      <x:c r="E296" s="11" t="n">
        <x:v>9445.09</x:v>
      </x:c>
    </x:row>
    <x:row r="297" ht="23" customHeight="1">
      <x:c r="A297" s="2" t="str">
        <x:v>P00370</x:v>
      </x:c>
      <x:c r="B297" s="2" t="str">
        <x:v>INV00416</x:v>
      </x:c>
      <x:c r="C297" s="2" t="str">
        <x:v>C001</x:v>
      </x:c>
      <x:c r="D297" s="10" t="d">
        <x:v>2026-07-22T00:00:00.000Z</x:v>
      </x:c>
      <x:c r="E297" s="11" t="n">
        <x:v>15773.78</x:v>
      </x:c>
    </x:row>
    <x:row r="298" ht="23" customHeight="1">
      <x:c r="A298" s="2" t="str">
        <x:v>P00065</x:v>
      </x:c>
      <x:c r="B298" s="2" t="str">
        <x:v>INV00074</x:v>
      </x:c>
      <x:c r="C298" s="2" t="str">
        <x:v>C011</x:v>
      </x:c>
      <x:c r="D298" s="10" t="d">
        <x:v>2026-07-23T00:00:00.000Z</x:v>
      </x:c>
      <x:c r="E298" s="11" t="n">
        <x:v>5567.37</x:v>
      </x:c>
    </x:row>
    <x:row r="299" ht="23" customHeight="1">
      <x:c r="A299" s="2" t="str">
        <x:v>P00127</x:v>
      </x:c>
      <x:c r="B299" s="2" t="str">
        <x:v>INV00143</x:v>
      </x:c>
      <x:c r="C299" s="2" t="str">
        <x:v>C019</x:v>
      </x:c>
      <x:c r="D299" s="10" t="d">
        <x:v>2026-07-23T00:00:00.000Z</x:v>
      </x:c>
      <x:c r="E299" s="11" t="n">
        <x:v>3368.33</x:v>
      </x:c>
    </x:row>
    <x:row r="300" ht="23" customHeight="1">
      <x:c r="A300" s="2" t="str">
        <x:v>P00197</x:v>
      </x:c>
      <x:c r="B300" s="2" t="str">
        <x:v>INV00229</x:v>
      </x:c>
      <x:c r="C300" s="2" t="str">
        <x:v>C040</x:v>
      </x:c>
      <x:c r="D300" s="10" t="d">
        <x:v>2026-07-23T00:00:00.000Z</x:v>
      </x:c>
      <x:c r="E300" s="11" t="n">
        <x:v>3712.15</x:v>
      </x:c>
    </x:row>
    <x:row r="301" ht="23" customHeight="1">
      <x:c r="A301" s="2" t="str">
        <x:v>P00023</x:v>
      </x:c>
      <x:c r="B301" s="2" t="str">
        <x:v>INV00032</x:v>
      </x:c>
      <x:c r="C301" s="2" t="str">
        <x:v>C040</x:v>
      </x:c>
      <x:c r="D301" s="10" t="d">
        <x:v>2026-07-24T00:00:00.000Z</x:v>
      </x:c>
      <x:c r="E301" s="11" t="n">
        <x:v>1189.59</x:v>
      </x:c>
    </x:row>
    <x:row r="302" ht="23" customHeight="1">
      <x:c r="A302" s="2" t="str">
        <x:v>P00342</x:v>
      </x:c>
      <x:c r="B302" s="2" t="str">
        <x:v>INV00386</x:v>
      </x:c>
      <x:c r="C302" s="2" t="str">
        <x:v>C024</x:v>
      </x:c>
      <x:c r="D302" s="10" t="d">
        <x:v>2026-07-24T00:00:00.000Z</x:v>
      </x:c>
      <x:c r="E302" s="11" t="n">
        <x:v>7833.67</x:v>
      </x:c>
    </x:row>
    <x:row r="303" ht="23" customHeight="1">
      <x:c r="A303" s="2" t="str">
        <x:v>P00223</x:v>
      </x:c>
      <x:c r="B303" s="2" t="str">
        <x:v>INV00260</x:v>
      </x:c>
      <x:c r="C303" s="2" t="str">
        <x:v>C007</x:v>
      </x:c>
      <x:c r="D303" s="10" t="d">
        <x:v>2026-07-27T00:00:00.000Z</x:v>
      </x:c>
      <x:c r="E303" s="11" t="n">
        <x:v>4801.38</x:v>
      </x:c>
    </x:row>
    <x:row r="304" ht="23" customHeight="1">
      <x:c r="A304" s="2" t="str">
        <x:v>P00368</x:v>
      </x:c>
      <x:c r="B304" s="2" t="str">
        <x:v>INV00411</x:v>
      </x:c>
      <x:c r="C304" s="2" t="str">
        <x:v>C004</x:v>
      </x:c>
      <x:c r="D304" s="10" t="d">
        <x:v>2026-07-27T00:00:00.000Z</x:v>
      </x:c>
      <x:c r="E304" s="11" t="n">
        <x:v>18522.81</x:v>
      </x:c>
    </x:row>
    <x:row r="305" ht="23" customHeight="1">
      <x:c r="A305" s="2" t="str">
        <x:v>P00381</x:v>
      </x:c>
      <x:c r="B305" s="2" t="str">
        <x:v>INV00429</x:v>
      </x:c>
      <x:c r="C305" s="2" t="str">
        <x:v>C018</x:v>
      </x:c>
      <x:c r="D305" s="10" t="d">
        <x:v>2026-07-27T00:00:00.000Z</x:v>
      </x:c>
      <x:c r="E305" s="11" t="n">
        <x:v>5066.57</x:v>
      </x:c>
    </x:row>
    <x:row r="306" ht="23" customHeight="1">
      <x:c r="A306" s="2" t="str">
        <x:v>P00417</x:v>
      </x:c>
      <x:c r="B306" s="2" t="str">
        <x:v>INV00471</x:v>
      </x:c>
      <x:c r="C306" s="2" t="str">
        <x:v>C036</x:v>
      </x:c>
      <x:c r="D306" s="10" t="d">
        <x:v>2026-07-27T00:00:00.000Z</x:v>
      </x:c>
      <x:c r="E306" s="11" t="n">
        <x:v>4717.02</x:v>
      </x:c>
    </x:row>
    <x:row r="307" ht="23" customHeight="1">
      <x:c r="A307" s="2" t="str">
        <x:v>P00403</x:v>
      </x:c>
      <x:c r="B307" s="2" t="str">
        <x:v>INV00456</x:v>
      </x:c>
      <x:c r="C307" s="2" t="str">
        <x:v>C039</x:v>
      </x:c>
      <x:c r="D307" s="10" t="d">
        <x:v>2026-07-28T00:00:00.000Z</x:v>
      </x:c>
      <x:c r="E307" s="11" t="n">
        <x:v>10949.15</x:v>
      </x:c>
    </x:row>
    <x:row r="308" ht="23" customHeight="1">
      <x:c r="A308" s="2" t="str">
        <x:v>P00042</x:v>
      </x:c>
      <x:c r="B308" s="2" t="str">
        <x:v>INV00051</x:v>
      </x:c>
      <x:c r="C308" s="2" t="str">
        <x:v>C013</x:v>
      </x:c>
      <x:c r="D308" s="10" t="d">
        <x:v>2026-07-30T00:00:00.000Z</x:v>
      </x:c>
      <x:c r="E308" s="11" t="n">
        <x:v>3842.87</x:v>
      </x:c>
    </x:row>
    <x:row r="309" ht="23" customHeight="1">
      <x:c r="A309" s="2" t="str">
        <x:v>P00205</x:v>
      </x:c>
      <x:c r="B309" s="2" t="str">
        <x:v>INV00239</x:v>
      </x:c>
      <x:c r="C309" s="2" t="str">
        <x:v>C003</x:v>
      </x:c>
      <x:c r="D309" s="10" t="d">
        <x:v>2026-07-30T00:00:00.000Z</x:v>
      </x:c>
      <x:c r="E309" s="11" t="n">
        <x:v>485.53</x:v>
      </x:c>
    </x:row>
    <x:row r="310" ht="23" customHeight="1">
      <x:c r="A310" s="2" t="str">
        <x:v>P00303</x:v>
      </x:c>
      <x:c r="B310" s="2" t="str">
        <x:v>INV00348</x:v>
      </x:c>
      <x:c r="C310" s="2" t="str">
        <x:v>C036</x:v>
      </x:c>
      <x:c r="D310" s="10" t="d">
        <x:v>2026-07-30T00:00:00.000Z</x:v>
      </x:c>
      <x:c r="E310" s="11" t="n">
        <x:v>9320.6</x:v>
      </x:c>
    </x:row>
    <x:row r="311" ht="23" customHeight="1">
      <x:c r="A311" s="2" t="str">
        <x:v>P00006</x:v>
      </x:c>
      <x:c r="B311" s="2" t="str">
        <x:v>INV00007</x:v>
      </x:c>
      <x:c r="C311" s="2" t="str">
        <x:v>C039</x:v>
      </x:c>
      <x:c r="D311" s="10" t="d">
        <x:v>2026-07-31T00:00:00.000Z</x:v>
      </x:c>
      <x:c r="E311" s="11" t="n">
        <x:v>3162.22</x:v>
      </x:c>
    </x:row>
    <x:row r="312" ht="23" customHeight="1">
      <x:c r="A312" s="2" t="str">
        <x:v>P00413</x:v>
      </x:c>
      <x:c r="B312" s="2" t="str">
        <x:v>INV00468</x:v>
      </x:c>
      <x:c r="C312" s="2" t="str">
        <x:v>C020</x:v>
      </x:c>
      <x:c r="D312" s="10" t="d">
        <x:v>2026-07-31T00:00:00.000Z</x:v>
      </x:c>
      <x:c r="E312" s="11" t="n">
        <x:v>1337.14</x:v>
      </x:c>
    </x:row>
    <x:row r="313" ht="23" customHeight="1">
      <x:c r="A313" s="2" t="str">
        <x:v>P00001</x:v>
      </x:c>
      <x:c r="B313" s="2" t="str">
        <x:v>INV00002</x:v>
      </x:c>
      <x:c r="C313" s="2" t="str">
        <x:v>C015</x:v>
      </x:c>
      <x:c r="D313" s="10" t="d">
        <x:v>2026-08-01T00:00:00.000Z</x:v>
      </x:c>
      <x:c r="E313" s="11" t="n">
        <x:v>5902.41</x:v>
      </x:c>
    </x:row>
    <x:row r="314" ht="23" customHeight="1">
      <x:c r="A314" s="2" t="str">
        <x:v>P00120</x:v>
      </x:c>
      <x:c r="B314" s="2" t="str">
        <x:v>INV00137</x:v>
      </x:c>
      <x:c r="C314" s="2" t="str">
        <x:v>C039</x:v>
      </x:c>
      <x:c r="D314" s="10" t="d">
        <x:v>2026-08-01T00:00:00.000Z</x:v>
      </x:c>
      <x:c r="E314" s="11" t="n">
        <x:v>2359.5</x:v>
      </x:c>
    </x:row>
    <x:row r="315" ht="23" customHeight="1">
      <x:c r="A315" s="2" t="str">
        <x:v>P00173</x:v>
      </x:c>
      <x:c r="B315" s="2" t="str">
        <x:v>INV00201</x:v>
      </x:c>
      <x:c r="C315" s="2" t="str">
        <x:v>C003</x:v>
      </x:c>
      <x:c r="D315" s="10" t="d">
        <x:v>2026-08-01T00:00:00.000Z</x:v>
      </x:c>
      <x:c r="E315" s="11" t="n">
        <x:v>1072.88</x:v>
      </x:c>
    </x:row>
    <x:row r="316" ht="23" customHeight="1">
      <x:c r="A316" s="2" t="str">
        <x:v>P00325</x:v>
      </x:c>
      <x:c r="B316" s="2" t="str">
        <x:v>INV00369</x:v>
      </x:c>
      <x:c r="C316" s="2" t="str">
        <x:v>C026</x:v>
      </x:c>
      <x:c r="D316" s="10" t="d">
        <x:v>2026-08-01T00:00:00.000Z</x:v>
      </x:c>
      <x:c r="E316" s="11" t="n">
        <x:v>3111.08</x:v>
      </x:c>
    </x:row>
    <x:row r="317" ht="23" customHeight="1">
      <x:c r="A317" s="2" t="str">
        <x:v>P00389</x:v>
      </x:c>
      <x:c r="B317" s="2" t="str">
        <x:v>INV00435</x:v>
      </x:c>
      <x:c r="C317" s="2" t="str">
        <x:v>C006</x:v>
      </x:c>
      <x:c r="D317" s="10" t="d">
        <x:v>2026-08-02T00:00:00.000Z</x:v>
      </x:c>
      <x:c r="E317" s="11" t="n">
        <x:v>3641.67</x:v>
      </x:c>
    </x:row>
    <x:row r="318" ht="23" customHeight="1">
      <x:c r="A318" s="2" t="str">
        <x:v>P00398</x:v>
      </x:c>
      <x:c r="B318" s="2" t="str">
        <x:v>INV00446</x:v>
      </x:c>
      <x:c r="C318" s="2" t="str">
        <x:v>C020</x:v>
      </x:c>
      <x:c r="D318" s="10" t="d">
        <x:v>2026-08-03T00:00:00.000Z</x:v>
      </x:c>
      <x:c r="E318" s="11" t="n">
        <x:v>6896.49</x:v>
      </x:c>
    </x:row>
    <x:row r="319" ht="23" customHeight="1">
      <x:c r="A319" s="2" t="str">
        <x:v>P00180</x:v>
      </x:c>
      <x:c r="B319" s="2" t="str">
        <x:v>INV00208</x:v>
      </x:c>
      <x:c r="C319" s="2" t="str">
        <x:v>C018</x:v>
      </x:c>
      <x:c r="D319" s="10" t="d">
        <x:v>2026-08-04T00:00:00.000Z</x:v>
      </x:c>
      <x:c r="E319" s="11" t="n">
        <x:v>1895.09</x:v>
      </x:c>
    </x:row>
    <x:row r="320" ht="23" customHeight="1">
      <x:c r="A320" s="2" t="str">
        <x:v>P00236</x:v>
      </x:c>
      <x:c r="B320" s="2" t="str">
        <x:v>INV00271</x:v>
      </x:c>
      <x:c r="C320" s="2" t="str">
        <x:v>C021</x:v>
      </x:c>
      <x:c r="D320" s="10" t="d">
        <x:v>2026-08-04T00:00:00.000Z</x:v>
      </x:c>
      <x:c r="E320" s="11" t="n">
        <x:v>2240.7</x:v>
      </x:c>
    </x:row>
    <x:row r="321" ht="23" customHeight="1">
      <x:c r="A321" s="2" t="str">
        <x:v>P00268</x:v>
      </x:c>
      <x:c r="B321" s="2" t="str">
        <x:v>INV00311</x:v>
      </x:c>
      <x:c r="C321" s="2" t="str">
        <x:v>C032</x:v>
      </x:c>
      <x:c r="D321" s="10" t="d">
        <x:v>2026-08-04T00:00:00.000Z</x:v>
      </x:c>
      <x:c r="E321" s="11" t="n">
        <x:v>3600.36</x:v>
      </x:c>
    </x:row>
    <x:row r="322" ht="23" customHeight="1">
      <x:c r="A322" s="2" t="str">
        <x:v>P00156</x:v>
      </x:c>
      <x:c r="B322" s="2" t="str">
        <x:v>INV00183</x:v>
      </x:c>
      <x:c r="C322" s="2" t="str">
        <x:v>C022</x:v>
      </x:c>
      <x:c r="D322" s="10" t="d">
        <x:v>2026-08-05T00:00:00.000Z</x:v>
      </x:c>
      <x:c r="E322" s="11" t="n">
        <x:v>3898.07</x:v>
      </x:c>
    </x:row>
    <x:row r="323" ht="23" customHeight="1">
      <x:c r="A323" s="2" t="str">
        <x:v>P00408</x:v>
      </x:c>
      <x:c r="B323" s="2" t="str">
        <x:v>INV00462</x:v>
      </x:c>
      <x:c r="C323" s="2" t="str">
        <x:v>C002</x:v>
      </x:c>
      <x:c r="D323" s="10" t="d">
        <x:v>2026-08-05T00:00:00.000Z</x:v>
      </x:c>
      <x:c r="E323" s="11" t="n">
        <x:v>656.36</x:v>
      </x:c>
    </x:row>
    <x:row r="324" ht="23" customHeight="1">
      <x:c r="A324" s="2" t="str">
        <x:v>P00118</x:v>
      </x:c>
      <x:c r="B324" s="2" t="str">
        <x:v>INV00133</x:v>
      </x:c>
      <x:c r="C324" s="2" t="str">
        <x:v>C031</x:v>
      </x:c>
      <x:c r="D324" s="10" t="d">
        <x:v>2026-08-06T00:00:00.000Z</x:v>
      </x:c>
      <x:c r="E324" s="11" t="n">
        <x:v>7703.05</x:v>
      </x:c>
    </x:row>
    <x:row r="325" ht="23" customHeight="1">
      <x:c r="A325" s="2" t="str">
        <x:v>P00219</x:v>
      </x:c>
      <x:c r="B325" s="2" t="str">
        <x:v>INV00255</x:v>
      </x:c>
      <x:c r="C325" s="2" t="str">
        <x:v>C024</x:v>
      </x:c>
      <x:c r="D325" s="10" t="d">
        <x:v>2026-08-06T00:00:00.000Z</x:v>
      </x:c>
      <x:c r="E325" s="11" t="n">
        <x:v>19768.03</x:v>
      </x:c>
    </x:row>
    <x:row r="326" ht="23" customHeight="1">
      <x:c r="A326" s="2" t="str">
        <x:v>P00018</x:v>
      </x:c>
      <x:c r="B326" s="2" t="str">
        <x:v>INV00024</x:v>
      </x:c>
      <x:c r="C326" s="2" t="str">
        <x:v>C024</x:v>
      </x:c>
      <x:c r="D326" s="10" t="d">
        <x:v>2026-08-08T00:00:00.000Z</x:v>
      </x:c>
      <x:c r="E326" s="11" t="n">
        <x:v>5460.49</x:v>
      </x:c>
    </x:row>
    <x:row r="327" ht="23" customHeight="1">
      <x:c r="A327" s="2" t="str">
        <x:v>P00165</x:v>
      </x:c>
      <x:c r="B327" s="2" t="str">
        <x:v>INV00192</x:v>
      </x:c>
      <x:c r="C327" s="2" t="str">
        <x:v>C030</x:v>
      </x:c>
      <x:c r="D327" s="10" t="d">
        <x:v>2026-08-08T00:00:00.000Z</x:v>
      </x:c>
      <x:c r="E327" s="11" t="n">
        <x:v>17654.27</x:v>
      </x:c>
    </x:row>
    <x:row r="328" ht="23" customHeight="1">
      <x:c r="A328" s="2" t="str">
        <x:v>P00344</x:v>
      </x:c>
      <x:c r="B328" s="2" t="str">
        <x:v>INV00388</x:v>
      </x:c>
      <x:c r="C328" s="2" t="str">
        <x:v>C010</x:v>
      </x:c>
      <x:c r="D328" s="10" t="d">
        <x:v>2026-08-09T00:00:00.000Z</x:v>
      </x:c>
      <x:c r="E328" s="11" t="n">
        <x:v>19168.86</x:v>
      </x:c>
    </x:row>
    <x:row r="329" ht="23" customHeight="1">
      <x:c r="A329" s="2" t="str">
        <x:v>P00166</x:v>
      </x:c>
      <x:c r="B329" s="2" t="str">
        <x:v>INV00193</x:v>
      </x:c>
      <x:c r="C329" s="2" t="str">
        <x:v>C040</x:v>
      </x:c>
      <x:c r="D329" s="10" t="d">
        <x:v>2026-08-10T00:00:00.000Z</x:v>
      </x:c>
      <x:c r="E329" s="11" t="n">
        <x:v>8983.5</x:v>
      </x:c>
    </x:row>
    <x:row r="330" ht="23" customHeight="1">
      <x:c r="A330" s="2" t="str">
        <x:v>P00178</x:v>
      </x:c>
      <x:c r="B330" s="2" t="str">
        <x:v>INV00207</x:v>
      </x:c>
      <x:c r="C330" s="2" t="str">
        <x:v>C031</x:v>
      </x:c>
      <x:c r="D330" s="10" t="d">
        <x:v>2026-08-11T00:00:00.000Z</x:v>
      </x:c>
      <x:c r="E330" s="11" t="n">
        <x:v>14539.4</x:v>
      </x:c>
    </x:row>
    <x:row r="331" ht="23" customHeight="1">
      <x:c r="A331" s="2" t="str">
        <x:v>P00028</x:v>
      </x:c>
      <x:c r="B331" s="2" t="str">
        <x:v>INV00035</x:v>
      </x:c>
      <x:c r="C331" s="2" t="str">
        <x:v>C036</x:v>
      </x:c>
      <x:c r="D331" s="10" t="d">
        <x:v>2026-08-12T00:00:00.000Z</x:v>
      </x:c>
      <x:c r="E331" s="11" t="n">
        <x:v>10908.78</x:v>
      </x:c>
    </x:row>
    <x:row r="332" ht="23" customHeight="1">
      <x:c r="A332" s="2" t="str">
        <x:v>P00051</x:v>
      </x:c>
      <x:c r="B332" s="2" t="str">
        <x:v>INV00059</x:v>
      </x:c>
      <x:c r="C332" s="2" t="str">
        <x:v>C023</x:v>
      </x:c>
      <x:c r="D332" s="10" t="d">
        <x:v>2026-08-12T00:00:00.000Z</x:v>
      </x:c>
      <x:c r="E332" s="11" t="n">
        <x:v>6046.14</x:v>
      </x:c>
    </x:row>
    <x:row r="333" ht="23" customHeight="1">
      <x:c r="A333" s="2" t="str">
        <x:v>P00107</x:v>
      </x:c>
      <x:c r="B333" s="2" t="str">
        <x:v>INV00116</x:v>
      </x:c>
      <x:c r="C333" s="2" t="str">
        <x:v>C028</x:v>
      </x:c>
      <x:c r="D333" s="10" t="d">
        <x:v>2026-08-12T00:00:00.000Z</x:v>
      </x:c>
      <x:c r="E333" s="11" t="n">
        <x:v>3318.59</x:v>
      </x:c>
    </x:row>
    <x:row r="334" ht="23" customHeight="1">
      <x:c r="A334" s="2" t="str">
        <x:v>P00327</x:v>
      </x:c>
      <x:c r="B334" s="2" t="str">
        <x:v>INV00372</x:v>
      </x:c>
      <x:c r="C334" s="2" t="str">
        <x:v>C021</x:v>
      </x:c>
      <x:c r="D334" s="10" t="d">
        <x:v>2026-08-12T00:00:00.000Z</x:v>
      </x:c>
      <x:c r="E334" s="11" t="n">
        <x:v>11649.4</x:v>
      </x:c>
    </x:row>
    <x:row r="335" ht="23" customHeight="1">
      <x:c r="A335" s="2" t="str">
        <x:v>P00066</x:v>
      </x:c>
      <x:c r="B335" s="2" t="str">
        <x:v>INV00075</x:v>
      </x:c>
      <x:c r="C335" s="2" t="str">
        <x:v>C028</x:v>
      </x:c>
      <x:c r="D335" s="10" t="d">
        <x:v>2026-08-13T00:00:00.000Z</x:v>
      </x:c>
      <x:c r="E335" s="11" t="n">
        <x:v>2905.16</x:v>
      </x:c>
    </x:row>
    <x:row r="336" ht="23" customHeight="1">
      <x:c r="A336" s="2" t="str">
        <x:v>P00057</x:v>
      </x:c>
      <x:c r="B336" s="2" t="str">
        <x:v>INV00064</x:v>
      </x:c>
      <x:c r="C336" s="2" t="str">
        <x:v>C019</x:v>
      </x:c>
      <x:c r="D336" s="10" t="d">
        <x:v>2026-08-15T00:00:00.000Z</x:v>
      </x:c>
      <x:c r="E336" s="11" t="n">
        <x:v>2100.75</x:v>
      </x:c>
    </x:row>
    <x:row r="337" ht="23" customHeight="1">
      <x:c r="A337" s="2" t="str">
        <x:v>P00130</x:v>
      </x:c>
      <x:c r="B337" s="2" t="str">
        <x:v>INV00145</x:v>
      </x:c>
      <x:c r="C337" s="2" t="str">
        <x:v>C007</x:v>
      </x:c>
      <x:c r="D337" s="10" t="d">
        <x:v>2026-08-15T00:00:00.000Z</x:v>
      </x:c>
      <x:c r="E337" s="11" t="n">
        <x:v>9717.88</x:v>
      </x:c>
    </x:row>
    <x:row r="338" ht="23" customHeight="1">
      <x:c r="A338" s="2" t="str">
        <x:v>P00243</x:v>
      </x:c>
      <x:c r="B338" s="2" t="str">
        <x:v>INV00276</x:v>
      </x:c>
      <x:c r="C338" s="2" t="str">
        <x:v>C020</x:v>
      </x:c>
      <x:c r="D338" s="10" t="d">
        <x:v>2026-08-16T00:00:00.000Z</x:v>
      </x:c>
      <x:c r="E338" s="11" t="n">
        <x:v>11038.14</x:v>
      </x:c>
    </x:row>
    <x:row r="339" ht="23" customHeight="1">
      <x:c r="A339" s="2" t="str">
        <x:v>P00037</x:v>
      </x:c>
      <x:c r="B339" s="2" t="str">
        <x:v>INV00047</x:v>
      </x:c>
      <x:c r="C339" s="2" t="str">
        <x:v>C022</x:v>
      </x:c>
      <x:c r="D339" s="10" t="d">
        <x:v>2026-08-17T00:00:00.000Z</x:v>
      </x:c>
      <x:c r="E339" s="11" t="n">
        <x:v>8620.19</x:v>
      </x:c>
    </x:row>
    <x:row r="340" ht="23" customHeight="1">
      <x:c r="A340" s="2" t="str">
        <x:v>P00171</x:v>
      </x:c>
      <x:c r="B340" s="2" t="str">
        <x:v>INV00199</x:v>
      </x:c>
      <x:c r="C340" s="2" t="str">
        <x:v>C037</x:v>
      </x:c>
      <x:c r="D340" s="10" t="d">
        <x:v>2026-08-17T00:00:00.000Z</x:v>
      </x:c>
      <x:c r="E340" s="11" t="n">
        <x:v>19586.86</x:v>
      </x:c>
    </x:row>
    <x:row r="341" ht="23" customHeight="1">
      <x:c r="A341" s="2" t="str">
        <x:v>P00188</x:v>
      </x:c>
      <x:c r="B341" s="2" t="str">
        <x:v>INV00216</x:v>
      </x:c>
      <x:c r="C341" s="2" t="str">
        <x:v>C040</x:v>
      </x:c>
      <x:c r="D341" s="10" t="d">
        <x:v>2026-08-17T00:00:00.000Z</x:v>
      </x:c>
      <x:c r="E341" s="11" t="n">
        <x:v>3318.83</x:v>
      </x:c>
    </x:row>
    <x:row r="342" ht="23" customHeight="1">
      <x:c r="A342" s="2" t="str">
        <x:v>P00096</x:v>
      </x:c>
      <x:c r="B342" s="2" t="str">
        <x:v>INV00105</x:v>
      </x:c>
      <x:c r="C342" s="2" t="str">
        <x:v>C040</x:v>
      </x:c>
      <x:c r="D342" s="10" t="d">
        <x:v>2026-08-18T00:00:00.000Z</x:v>
      </x:c>
      <x:c r="E342" s="11" t="n">
        <x:v>5994.7</x:v>
      </x:c>
    </x:row>
    <x:row r="343" ht="23" customHeight="1">
      <x:c r="A343" s="2" t="str">
        <x:v>P00146</x:v>
      </x:c>
      <x:c r="B343" s="2" t="str">
        <x:v>INV00168</x:v>
      </x:c>
      <x:c r="C343" s="2" t="str">
        <x:v>C009</x:v>
      </x:c>
      <x:c r="D343" s="10" t="d">
        <x:v>2026-08-18T00:00:00.000Z</x:v>
      </x:c>
      <x:c r="E343" s="11" t="n">
        <x:v>5340.14</x:v>
      </x:c>
    </x:row>
    <x:row r="344" ht="23" customHeight="1">
      <x:c r="A344" s="2" t="str">
        <x:v>P00339</x:v>
      </x:c>
      <x:c r="B344" s="2" t="str">
        <x:v>INV00384</x:v>
      </x:c>
      <x:c r="C344" s="2" t="str">
        <x:v>C024</x:v>
      </x:c>
      <x:c r="D344" s="10" t="d">
        <x:v>2026-08-18T00:00:00.000Z</x:v>
      </x:c>
      <x:c r="E344" s="11" t="n">
        <x:v>18828.37</x:v>
      </x:c>
    </x:row>
    <x:row r="345" ht="23" customHeight="1">
      <x:c r="A345" s="2" t="str">
        <x:v>P00144</x:v>
      </x:c>
      <x:c r="B345" s="2" t="str">
        <x:v>INV00166</x:v>
      </x:c>
      <x:c r="C345" s="2" t="str">
        <x:v>C021</x:v>
      </x:c>
      <x:c r="D345" s="10" t="d">
        <x:v>2026-08-20T00:00:00.000Z</x:v>
      </x:c>
      <x:c r="E345" s="11" t="n">
        <x:v>3459.9</x:v>
      </x:c>
    </x:row>
    <x:row r="346" ht="23" customHeight="1">
      <x:c r="A346" s="2" t="str">
        <x:v>P00216</x:v>
      </x:c>
      <x:c r="B346" s="2" t="str">
        <x:v>INV00252</x:v>
      </x:c>
      <x:c r="C346" s="2" t="str">
        <x:v>C026</x:v>
      </x:c>
      <x:c r="D346" s="10" t="d">
        <x:v>2026-08-20T00:00:00.000Z</x:v>
      </x:c>
      <x:c r="E346" s="11" t="n">
        <x:v>4348.92</x:v>
      </x:c>
    </x:row>
    <x:row r="347" ht="23" customHeight="1">
      <x:c r="A347" s="2" t="str">
        <x:v>P00335</x:v>
      </x:c>
      <x:c r="B347" s="2" t="str">
        <x:v>INV00379</x:v>
      </x:c>
      <x:c r="C347" s="2" t="str">
        <x:v>C001</x:v>
      </x:c>
      <x:c r="D347" s="10" t="d">
        <x:v>2026-08-20T00:00:00.000Z</x:v>
      </x:c>
      <x:c r="E347" s="11" t="n">
        <x:v>8129.48</x:v>
      </x:c>
    </x:row>
    <x:row r="348" ht="23" customHeight="1">
      <x:c r="A348" s="2" t="str">
        <x:v>P00026</x:v>
      </x:c>
      <x:c r="B348" s="2" t="str">
        <x:v>INV00034</x:v>
      </x:c>
      <x:c r="C348" s="2" t="str">
        <x:v>C026</x:v>
      </x:c>
      <x:c r="D348" s="10" t="d">
        <x:v>2026-08-21T00:00:00.000Z</x:v>
      </x:c>
      <x:c r="E348" s="11" t="n">
        <x:v>4962.19</x:v>
      </x:c>
    </x:row>
    <x:row r="349" ht="23" customHeight="1">
      <x:c r="A349" s="2" t="str">
        <x:v>P00093</x:v>
      </x:c>
      <x:c r="B349" s="2" t="str">
        <x:v>INV00103</x:v>
      </x:c>
      <x:c r="C349" s="2" t="str">
        <x:v>C012</x:v>
      </x:c>
      <x:c r="D349" s="10" t="d">
        <x:v>2026-08-21T00:00:00.000Z</x:v>
      </x:c>
      <x:c r="E349" s="11" t="n">
        <x:v>4521.65</x:v>
      </x:c>
    </x:row>
    <x:row r="350" ht="23" customHeight="1">
      <x:c r="A350" s="2" t="str">
        <x:v>P00032</x:v>
      </x:c>
      <x:c r="B350" s="2" t="str">
        <x:v>INV00040</x:v>
      </x:c>
      <x:c r="C350" s="2" t="str">
        <x:v>C002</x:v>
      </x:c>
      <x:c r="D350" s="10" t="d">
        <x:v>2026-08-22T00:00:00.000Z</x:v>
      </x:c>
      <x:c r="E350" s="11" t="n">
        <x:v>3342.33</x:v>
      </x:c>
    </x:row>
    <x:row r="351" ht="23" customHeight="1">
      <x:c r="A351" s="2" t="str">
        <x:v>P00070</x:v>
      </x:c>
      <x:c r="B351" s="2" t="str">
        <x:v>INV00078</x:v>
      </x:c>
      <x:c r="C351" s="2" t="str">
        <x:v>C032</x:v>
      </x:c>
      <x:c r="D351" s="10" t="d">
        <x:v>2026-08-23T00:00:00.000Z</x:v>
      </x:c>
      <x:c r="E351" s="11" t="n">
        <x:v>8504.13</x:v>
      </x:c>
    </x:row>
    <x:row r="352" ht="23" customHeight="1">
      <x:c r="A352" s="2" t="str">
        <x:v>P00152</x:v>
      </x:c>
      <x:c r="B352" s="2" t="str">
        <x:v>INV00174</x:v>
      </x:c>
      <x:c r="C352" s="2" t="str">
        <x:v>C026</x:v>
      </x:c>
      <x:c r="D352" s="10" t="d">
        <x:v>2026-08-23T00:00:00.000Z</x:v>
      </x:c>
      <x:c r="E352" s="11" t="n">
        <x:v>8068.41</x:v>
      </x:c>
    </x:row>
    <x:row r="353" ht="23" customHeight="1">
      <x:c r="A353" s="2" t="str">
        <x:v>P00424</x:v>
      </x:c>
      <x:c r="B353" s="2" t="str">
        <x:v>INV00479</x:v>
      </x:c>
      <x:c r="C353" s="2" t="str">
        <x:v>C009</x:v>
      </x:c>
      <x:c r="D353" s="10" t="d">
        <x:v>2026-08-23T00:00:00.000Z</x:v>
      </x:c>
      <x:c r="E353" s="11" t="n">
        <x:v>16883.73</x:v>
      </x:c>
    </x:row>
    <x:row r="354" ht="23" customHeight="1">
      <x:c r="A354" s="2" t="str">
        <x:v>P00058</x:v>
      </x:c>
      <x:c r="B354" s="2" t="str">
        <x:v>INV00065</x:v>
      </x:c>
      <x:c r="C354" s="2" t="str">
        <x:v>C025</x:v>
      </x:c>
      <x:c r="D354" s="10" t="d">
        <x:v>2026-08-24T00:00:00.000Z</x:v>
      </x:c>
      <x:c r="E354" s="11" t="n">
        <x:v>9597.59</x:v>
      </x:c>
    </x:row>
    <x:row r="355" ht="23" customHeight="1">
      <x:c r="A355" s="2" t="str">
        <x:v>P00134</x:v>
      </x:c>
      <x:c r="B355" s="2" t="str">
        <x:v>INV00148</x:v>
      </x:c>
      <x:c r="C355" s="2" t="str">
        <x:v>C020</x:v>
      </x:c>
      <x:c r="D355" s="10" t="d">
        <x:v>2026-08-24T00:00:00.000Z</x:v>
      </x:c>
      <x:c r="E355" s="11" t="n">
        <x:v>17519.7</x:v>
      </x:c>
    </x:row>
    <x:row r="356" ht="23" customHeight="1">
      <x:c r="A356" s="2" t="str">
        <x:v>P00081</x:v>
      </x:c>
      <x:c r="B356" s="2" t="str">
        <x:v>INV00087</x:v>
      </x:c>
      <x:c r="C356" s="2" t="str">
        <x:v>C014</x:v>
      </x:c>
      <x:c r="D356" s="10" t="d">
        <x:v>2026-08-25T00:00:00.000Z</x:v>
      </x:c>
      <x:c r="E356" s="11" t="n">
        <x:v>8877.86</x:v>
      </x:c>
    </x:row>
    <x:row r="357" ht="23" customHeight="1">
      <x:c r="A357" s="2" t="str">
        <x:v>P00132</x:v>
      </x:c>
      <x:c r="B357" s="2" t="str">
        <x:v>INV00146</x:v>
      </x:c>
      <x:c r="C357" s="2" t="str">
        <x:v>C008</x:v>
      </x:c>
      <x:c r="D357" s="10" t="d">
        <x:v>2026-08-25T00:00:00.000Z</x:v>
      </x:c>
      <x:c r="E357" s="11" t="n">
        <x:v>1043.73</x:v>
      </x:c>
    </x:row>
    <x:row r="358" ht="23" customHeight="1">
      <x:c r="A358" s="2" t="str">
        <x:v>P00195</x:v>
      </x:c>
      <x:c r="B358" s="2" t="str">
        <x:v>INV00226</x:v>
      </x:c>
      <x:c r="C358" s="2" t="str">
        <x:v>C013</x:v>
      </x:c>
      <x:c r="D358" s="10" t="d">
        <x:v>2026-08-25T00:00:00.000Z</x:v>
      </x:c>
      <x:c r="E358" s="11" t="n">
        <x:v>3162.75</x:v>
      </x:c>
    </x:row>
    <x:row r="359" ht="23" customHeight="1">
      <x:c r="A359" s="2" t="str">
        <x:v>P00040</x:v>
      </x:c>
      <x:c r="B359" s="2" t="str">
        <x:v>INV00049</x:v>
      </x:c>
      <x:c r="C359" s="2" t="str">
        <x:v>C008</x:v>
      </x:c>
      <x:c r="D359" s="10" t="d">
        <x:v>2026-08-26T00:00:00.000Z</x:v>
      </x:c>
      <x:c r="E359" s="11" t="n">
        <x:v>3158.31</x:v>
      </x:c>
    </x:row>
    <x:row r="360" ht="23" customHeight="1">
      <x:c r="A360" s="2" t="str">
        <x:v>P00075</x:v>
      </x:c>
      <x:c r="B360" s="2" t="str">
        <x:v>INV00082</x:v>
      </x:c>
      <x:c r="C360" s="2" t="str">
        <x:v>C035</x:v>
      </x:c>
      <x:c r="D360" s="10" t="d">
        <x:v>2026-08-26T00:00:00.000Z</x:v>
      </x:c>
      <x:c r="E360" s="11" t="n">
        <x:v>3673.96</x:v>
      </x:c>
    </x:row>
    <x:row r="361" ht="23" customHeight="1">
      <x:c r="A361" s="2" t="str">
        <x:v>P00194</x:v>
      </x:c>
      <x:c r="B361" s="2" t="str">
        <x:v>INV00223</x:v>
      </x:c>
      <x:c r="C361" s="2" t="str">
        <x:v>C019</x:v>
      </x:c>
      <x:c r="D361" s="10" t="d">
        <x:v>2026-08-26T00:00:00.000Z</x:v>
      </x:c>
      <x:c r="E361" s="11" t="n">
        <x:v>10702.34</x:v>
      </x:c>
    </x:row>
    <x:row r="362" ht="23" customHeight="1">
      <x:c r="A362" s="2" t="str">
        <x:v>P00292</x:v>
      </x:c>
      <x:c r="B362" s="2" t="str">
        <x:v>INV00340</x:v>
      </x:c>
      <x:c r="C362" s="2" t="str">
        <x:v>C022</x:v>
      </x:c>
      <x:c r="D362" s="10" t="d">
        <x:v>2026-08-26T00:00:00.000Z</x:v>
      </x:c>
      <x:c r="E362" s="11" t="n">
        <x:v>10599.28</x:v>
      </x:c>
    </x:row>
    <x:row r="363" ht="23" customHeight="1">
      <x:c r="A363" s="2" t="str">
        <x:v>P00266</x:v>
      </x:c>
      <x:c r="B363" s="2" t="str">
        <x:v>INV00308</x:v>
      </x:c>
      <x:c r="C363" s="2" t="str">
        <x:v>C027</x:v>
      </x:c>
      <x:c r="D363" s="10" t="d">
        <x:v>2026-08-27T00:00:00.000Z</x:v>
      </x:c>
      <x:c r="E363" s="11" t="n">
        <x:v>4017.54</x:v>
      </x:c>
    </x:row>
    <x:row r="364" ht="23" customHeight="1">
      <x:c r="A364" s="2" t="str">
        <x:v>P00273</x:v>
      </x:c>
      <x:c r="B364" s="2" t="str">
        <x:v>INV00316</x:v>
      </x:c>
      <x:c r="C364" s="2" t="str">
        <x:v>C006</x:v>
      </x:c>
      <x:c r="D364" s="10" t="d">
        <x:v>2026-08-27T00:00:00.000Z</x:v>
      </x:c>
      <x:c r="E364" s="11" t="n">
        <x:v>10272.97</x:v>
      </x:c>
    </x:row>
    <x:row r="365" ht="23" customHeight="1">
      <x:c r="A365" s="2" t="str">
        <x:v>P00012</x:v>
      </x:c>
      <x:c r="B365" s="2" t="str">
        <x:v>INV00016</x:v>
      </x:c>
      <x:c r="C365" s="2" t="str">
        <x:v>C015</x:v>
      </x:c>
      <x:c r="D365" s="10" t="d">
        <x:v>2026-08-28T00:00:00.000Z</x:v>
      </x:c>
      <x:c r="E365" s="11" t="n">
        <x:v>10659.75</x:v>
      </x:c>
    </x:row>
    <x:row r="366" ht="23" customHeight="1">
      <x:c r="A366" s="2" t="str">
        <x:v>P00261</x:v>
      </x:c>
      <x:c r="B366" s="2" t="str">
        <x:v>INV00299</x:v>
      </x:c>
      <x:c r="C366" s="2" t="str">
        <x:v>C034</x:v>
      </x:c>
      <x:c r="D366" s="10" t="d">
        <x:v>2026-08-28T00:00:00.000Z</x:v>
      </x:c>
      <x:c r="E366" s="11" t="n">
        <x:v>4504.42</x:v>
      </x:c>
    </x:row>
    <x:row r="367" ht="23" customHeight="1">
      <x:c r="A367" s="2" t="str">
        <x:v>P00304</x:v>
      </x:c>
      <x:c r="B367" s="2" t="str">
        <x:v>INV00349</x:v>
      </x:c>
      <x:c r="C367" s="2" t="str">
        <x:v>C027</x:v>
      </x:c>
      <x:c r="D367" s="10" t="d">
        <x:v>2026-08-28T00:00:00.000Z</x:v>
      </x:c>
      <x:c r="E367" s="11" t="n">
        <x:v>12016.09</x:v>
      </x:c>
    </x:row>
    <x:row r="368" ht="23" customHeight="1">
      <x:c r="A368" s="2" t="str">
        <x:v>P00310</x:v>
      </x:c>
      <x:c r="B368" s="2" t="str">
        <x:v>INV00356</x:v>
      </x:c>
      <x:c r="C368" s="2" t="str">
        <x:v>C030</x:v>
      </x:c>
      <x:c r="D368" s="10" t="d">
        <x:v>2026-08-29T00:00:00.000Z</x:v>
      </x:c>
      <x:c r="E368" s="11" t="n">
        <x:v>11366.14</x:v>
      </x:c>
    </x:row>
    <x:row r="369" ht="23" customHeight="1">
      <x:c r="A369" s="2" t="str">
        <x:v>P00392</x:v>
      </x:c>
      <x:c r="B369" s="2" t="str">
        <x:v>INV00437</x:v>
      </x:c>
      <x:c r="C369" s="2" t="str">
        <x:v>C033</x:v>
      </x:c>
      <x:c r="D369" s="10" t="d">
        <x:v>2026-08-29T00:00:00.000Z</x:v>
      </x:c>
      <x:c r="E369" s="11" t="n">
        <x:v>12868.13</x:v>
      </x:c>
    </x:row>
    <x:row r="370" ht="23" customHeight="1">
      <x:c r="A370" s="2" t="str">
        <x:v>P00084</x:v>
      </x:c>
      <x:c r="B370" s="2" t="str">
        <x:v>INV00093</x:v>
      </x:c>
      <x:c r="C370" s="2" t="str">
        <x:v>C008</x:v>
      </x:c>
      <x:c r="D370" s="10" t="d">
        <x:v>2026-08-30T00:00:00.000Z</x:v>
      </x:c>
      <x:c r="E370" s="11" t="n">
        <x:v>14175.22</x:v>
      </x:c>
    </x:row>
    <x:row r="371" ht="23" customHeight="1">
      <x:c r="A371" s="2" t="str">
        <x:v>P00421</x:v>
      </x:c>
      <x:c r="B371" s="2" t="str">
        <x:v>INV00474</x:v>
      </x:c>
      <x:c r="C371" s="2" t="str">
        <x:v>C023</x:v>
      </x:c>
      <x:c r="D371" s="10" t="d">
        <x:v>2026-08-30T00:00:00.000Z</x:v>
      </x:c>
      <x:c r="E371" s="11" t="n">
        <x:v>6730.49</x:v>
      </x:c>
    </x:row>
    <x:row r="372" ht="23" customHeight="1">
      <x:c r="A372" s="2" t="str">
        <x:v>P00048</x:v>
      </x:c>
      <x:c r="B372" s="2" t="str">
        <x:v>INV00057</x:v>
      </x:c>
      <x:c r="C372" s="2" t="str">
        <x:v>C025</x:v>
      </x:c>
      <x:c r="D372" s="10" t="d">
        <x:v>2026-09-01T00:00:00.000Z</x:v>
      </x:c>
      <x:c r="E372" s="11" t="n">
        <x:v>7105.82</x:v>
      </x:c>
    </x:row>
    <x:row r="373" ht="23" customHeight="1">
      <x:c r="A373" s="2" t="str">
        <x:v>P00110</x:v>
      </x:c>
      <x:c r="B373" s="2" t="str">
        <x:v>INV00120</x:v>
      </x:c>
      <x:c r="C373" s="2" t="str">
        <x:v>C016</x:v>
      </x:c>
      <x:c r="D373" s="10" t="d">
        <x:v>2026-09-01T00:00:00.000Z</x:v>
      </x:c>
      <x:c r="E373" s="11" t="n">
        <x:v>2313.16</x:v>
      </x:c>
    </x:row>
    <x:row r="374" ht="23" customHeight="1">
      <x:c r="A374" s="2" t="str">
        <x:v>P00356</x:v>
      </x:c>
      <x:c r="B374" s="2" t="str">
        <x:v>INV00398</x:v>
      </x:c>
      <x:c r="C374" s="2" t="str">
        <x:v>C027</x:v>
      </x:c>
      <x:c r="D374" s="10" t="d">
        <x:v>2026-09-01T00:00:00.000Z</x:v>
      </x:c>
      <x:c r="E374" s="11" t="n">
        <x:v>1658.61</x:v>
      </x:c>
    </x:row>
    <x:row r="375" ht="23" customHeight="1">
      <x:c r="A375" s="2" t="str">
        <x:v>P00176</x:v>
      </x:c>
      <x:c r="B375" s="2" t="str">
        <x:v>INV00205</x:v>
      </x:c>
      <x:c r="C375" s="2" t="str">
        <x:v>C021</x:v>
      </x:c>
      <x:c r="D375" s="10" t="d">
        <x:v>2026-09-02T00:00:00.000Z</x:v>
      </x:c>
      <x:c r="E375" s="11" t="n">
        <x:v>12363.1</x:v>
      </x:c>
    </x:row>
    <x:row r="376" ht="23" customHeight="1">
      <x:c r="A376" s="2" t="str">
        <x:v>P00298</x:v>
      </x:c>
      <x:c r="B376" s="2" t="str">
        <x:v>INV00344</x:v>
      </x:c>
      <x:c r="C376" s="2" t="str">
        <x:v>C024</x:v>
      </x:c>
      <x:c r="D376" s="10" t="d">
        <x:v>2026-09-02T00:00:00.000Z</x:v>
      </x:c>
      <x:c r="E376" s="11" t="n">
        <x:v>9415.71</x:v>
      </x:c>
    </x:row>
    <x:row r="377" ht="23" customHeight="1">
      <x:c r="A377" s="2" t="str">
        <x:v>P00337</x:v>
      </x:c>
      <x:c r="B377" s="2" t="str">
        <x:v>INV00381</x:v>
      </x:c>
      <x:c r="C377" s="2" t="str">
        <x:v>C029</x:v>
      </x:c>
      <x:c r="D377" s="10" t="d">
        <x:v>2026-09-02T00:00:00.000Z</x:v>
      </x:c>
      <x:c r="E377" s="11" t="n">
        <x:v>8522.96</x:v>
      </x:c>
    </x:row>
    <x:row r="378" ht="23" customHeight="1">
      <x:c r="A378" s="2" t="str">
        <x:v>P00331</x:v>
      </x:c>
      <x:c r="B378" s="2" t="str">
        <x:v>INV00376</x:v>
      </x:c>
      <x:c r="C378" s="2" t="str">
        <x:v>C003</x:v>
      </x:c>
      <x:c r="D378" s="10" t="d">
        <x:v>2026-09-03T00:00:00.000Z</x:v>
      </x:c>
      <x:c r="E378" s="11" t="n">
        <x:v>4363.99</x:v>
      </x:c>
    </x:row>
    <x:row r="379" ht="23" customHeight="1">
      <x:c r="A379" s="2" t="str">
        <x:v>P00383</x:v>
      </x:c>
      <x:c r="B379" s="2" t="str">
        <x:v>INV00430</x:v>
      </x:c>
      <x:c r="C379" s="2" t="str">
        <x:v>C019</x:v>
      </x:c>
      <x:c r="D379" s="10" t="d">
        <x:v>2026-09-03T00:00:00.000Z</x:v>
      </x:c>
      <x:c r="E379" s="11" t="n">
        <x:v>872.75</x:v>
      </x:c>
    </x:row>
    <x:row r="380" ht="23" customHeight="1">
      <x:c r="A380" s="2" t="str">
        <x:v>P00407</x:v>
      </x:c>
      <x:c r="B380" s="2" t="str">
        <x:v>INV00460</x:v>
      </x:c>
      <x:c r="C380" s="2" t="str">
        <x:v>C011</x:v>
      </x:c>
      <x:c r="D380" s="10" t="d">
        <x:v>2026-09-03T00:00:00.000Z</x:v>
      </x:c>
      <x:c r="E380" s="11" t="n">
        <x:v>4921.17</x:v>
      </x:c>
    </x:row>
    <x:row r="381" ht="23" customHeight="1">
      <x:c r="A381" s="2" t="str">
        <x:v>P00054</x:v>
      </x:c>
      <x:c r="B381" s="2" t="str">
        <x:v>INV00061</x:v>
      </x:c>
      <x:c r="C381" s="2" t="str">
        <x:v>C034</x:v>
      </x:c>
      <x:c r="D381" s="10" t="d">
        <x:v>2026-09-04T00:00:00.000Z</x:v>
      </x:c>
      <x:c r="E381" s="11" t="n">
        <x:v>9404.37</x:v>
      </x:c>
    </x:row>
    <x:row r="382" ht="23" customHeight="1">
      <x:c r="A382" s="2" t="str">
        <x:v>P00139</x:v>
      </x:c>
      <x:c r="B382" s="2" t="str">
        <x:v>INV00156</x:v>
      </x:c>
      <x:c r="C382" s="2" t="str">
        <x:v>C027</x:v>
      </x:c>
      <x:c r="D382" s="10" t="d">
        <x:v>2026-09-04T00:00:00.000Z</x:v>
      </x:c>
      <x:c r="E382" s="11" t="n">
        <x:v>4312.27</x:v>
      </x:c>
    </x:row>
    <x:row r="383" ht="23" customHeight="1">
      <x:c r="A383" s="2" t="str">
        <x:v>P00262</x:v>
      </x:c>
      <x:c r="B383" s="2" t="str">
        <x:v>INV00300</x:v>
      </x:c>
      <x:c r="C383" s="2" t="str">
        <x:v>C015</x:v>
      </x:c>
      <x:c r="D383" s="10" t="d">
        <x:v>2026-09-04T00:00:00.000Z</x:v>
      </x:c>
      <x:c r="E383" s="11" t="n">
        <x:v>2116.74</x:v>
      </x:c>
    </x:row>
    <x:row r="384" ht="23" customHeight="1">
      <x:c r="A384" s="2" t="str">
        <x:v>P00013</x:v>
      </x:c>
      <x:c r="B384" s="2" t="str">
        <x:v>INV00017</x:v>
      </x:c>
      <x:c r="C384" s="2" t="str">
        <x:v>C010</x:v>
      </x:c>
      <x:c r="D384" s="10" t="d">
        <x:v>2026-09-05T00:00:00.000Z</x:v>
      </x:c>
      <x:c r="E384" s="11" t="n">
        <x:v>14153.93</x:v>
      </x:c>
    </x:row>
    <x:row r="385" ht="23" customHeight="1">
      <x:c r="A385" s="2" t="str">
        <x:v>P00078</x:v>
      </x:c>
      <x:c r="B385" s="2" t="str">
        <x:v>INV00084</x:v>
      </x:c>
      <x:c r="C385" s="2" t="str">
        <x:v>C008</x:v>
      </x:c>
      <x:c r="D385" s="10" t="d">
        <x:v>2026-09-05T00:00:00.000Z</x:v>
      </x:c>
      <x:c r="E385" s="11" t="n">
        <x:v>4665.95</x:v>
      </x:c>
    </x:row>
    <x:row r="386" ht="23" customHeight="1">
      <x:c r="A386" s="2" t="str">
        <x:v>P00255</x:v>
      </x:c>
      <x:c r="B386" s="2" t="str">
        <x:v>INV00292</x:v>
      </x:c>
      <x:c r="C386" s="2" t="str">
        <x:v>C007</x:v>
      </x:c>
      <x:c r="D386" s="10" t="d">
        <x:v>2026-09-05T00:00:00.000Z</x:v>
      </x:c>
      <x:c r="E386" s="11" t="n">
        <x:v>17101.99</x:v>
      </x:c>
    </x:row>
    <x:row r="387" ht="23" customHeight="1">
      <x:c r="A387" s="2" t="str">
        <x:v>P00275</x:v>
      </x:c>
      <x:c r="B387" s="2" t="str">
        <x:v>INV00318</x:v>
      </x:c>
      <x:c r="C387" s="2" t="str">
        <x:v>C020</x:v>
      </x:c>
      <x:c r="D387" s="10" t="d">
        <x:v>2026-09-05T00:00:00.000Z</x:v>
      </x:c>
      <x:c r="E387" s="11" t="n">
        <x:v>6424.75</x:v>
      </x:c>
    </x:row>
    <x:row r="388" ht="23" customHeight="1">
      <x:c r="A388" s="2" t="str">
        <x:v>P00270</x:v>
      </x:c>
      <x:c r="B388" s="2" t="str">
        <x:v>INV00314</x:v>
      </x:c>
      <x:c r="C388" s="2" t="str">
        <x:v>C016</x:v>
      </x:c>
      <x:c r="D388" s="10" t="d">
        <x:v>2026-09-06T00:00:00.000Z</x:v>
      </x:c>
      <x:c r="E388" s="11" t="n">
        <x:v>19351.94</x:v>
      </x:c>
    </x:row>
    <x:row r="389" ht="23" customHeight="1">
      <x:c r="A389" s="2" t="str">
        <x:v>P00347</x:v>
      </x:c>
      <x:c r="B389" s="2" t="str">
        <x:v>INV00390</x:v>
      </x:c>
      <x:c r="C389" s="2" t="str">
        <x:v>C007</x:v>
      </x:c>
      <x:c r="D389" s="10" t="d">
        <x:v>2026-09-06T00:00:00.000Z</x:v>
      </x:c>
      <x:c r="E389" s="11" t="n">
        <x:v>4139.38</x:v>
      </x:c>
    </x:row>
    <x:row r="390" ht="23" customHeight="1">
      <x:c r="A390" s="2" t="str">
        <x:v>P00362</x:v>
      </x:c>
      <x:c r="B390" s="2" t="str">
        <x:v>INV00405</x:v>
      </x:c>
      <x:c r="C390" s="2" t="str">
        <x:v>C031</x:v>
      </x:c>
      <x:c r="D390" s="10" t="d">
        <x:v>2026-09-06T00:00:00.000Z</x:v>
      </x:c>
      <x:c r="E390" s="11" t="n">
        <x:v>5072.39</x:v>
      </x:c>
    </x:row>
    <x:row r="391" ht="23" customHeight="1">
      <x:c r="A391" s="2" t="str">
        <x:v>P00019</x:v>
      </x:c>
      <x:c r="B391" s="2" t="str">
        <x:v>INV00025</x:v>
      </x:c>
      <x:c r="C391" s="2" t="str">
        <x:v>C034</x:v>
      </x:c>
      <x:c r="D391" s="10" t="d">
        <x:v>2026-09-07T00:00:00.000Z</x:v>
      </x:c>
      <x:c r="E391" s="11" t="n">
        <x:v>2020.13</x:v>
      </x:c>
    </x:row>
    <x:row r="392" ht="23" customHeight="1">
      <x:c r="A392" s="2" t="str">
        <x:v>P00332</x:v>
      </x:c>
      <x:c r="B392" s="2" t="str">
        <x:v>INV00377</x:v>
      </x:c>
      <x:c r="C392" s="2" t="str">
        <x:v>C028</x:v>
      </x:c>
      <x:c r="D392" s="10" t="d">
        <x:v>2026-09-07T00:00:00.000Z</x:v>
      </x:c>
      <x:c r="E392" s="11" t="n">
        <x:v>5401.53</x:v>
      </x:c>
    </x:row>
    <x:row r="393" ht="23" customHeight="1">
      <x:c r="A393" s="2" t="str">
        <x:v>P00377</x:v>
      </x:c>
      <x:c r="B393" s="2" t="str">
        <x:v>INV00426</x:v>
      </x:c>
      <x:c r="C393" s="2" t="str">
        <x:v>C038</x:v>
      </x:c>
      <x:c r="D393" s="10" t="d">
        <x:v>2026-09-07T00:00:00.000Z</x:v>
      </x:c>
      <x:c r="E393" s="11" t="n">
        <x:v>1493.77</x:v>
      </x:c>
    </x:row>
    <x:row r="394" ht="23" customHeight="1">
      <x:c r="A394" s="2" t="str">
        <x:v>P00210</x:v>
      </x:c>
      <x:c r="B394" s="2" t="str">
        <x:v>INV00245</x:v>
      </x:c>
      <x:c r="C394" s="2" t="str">
        <x:v>C031</x:v>
      </x:c>
      <x:c r="D394" s="10" t="d">
        <x:v>2026-09-08T00:00:00.000Z</x:v>
      </x:c>
      <x:c r="E394" s="11" t="n">
        <x:v>1964.89</x:v>
      </x:c>
    </x:row>
    <x:row r="395" ht="23" customHeight="1">
      <x:c r="A395" s="2" t="str">
        <x:v>P00299</x:v>
      </x:c>
      <x:c r="B395" s="2" t="str">
        <x:v>INV00345</x:v>
      </x:c>
      <x:c r="C395" s="2" t="str">
        <x:v>C024</x:v>
      </x:c>
      <x:c r="D395" s="10" t="d">
        <x:v>2026-09-09T00:00:00.000Z</x:v>
      </x:c>
      <x:c r="E395" s="11" t="n">
        <x:v>5393.85</x:v>
      </x:c>
    </x:row>
    <x:row r="396" ht="23" customHeight="1">
      <x:c r="A396" s="2" t="str">
        <x:v>P00016</x:v>
      </x:c>
      <x:c r="B396" s="2" t="str">
        <x:v>INV00020</x:v>
      </x:c>
      <x:c r="C396" s="2" t="str">
        <x:v>C014</x:v>
      </x:c>
      <x:c r="D396" s="10" t="d">
        <x:v>2026-09-10T00:00:00.000Z</x:v>
      </x:c>
      <x:c r="E396" s="11" t="n">
        <x:v>255.04</x:v>
      </x:c>
    </x:row>
    <x:row r="397" ht="23" customHeight="1">
      <x:c r="A397" s="2" t="str">
        <x:v>P00113</x:v>
      </x:c>
      <x:c r="B397" s="2" t="str">
        <x:v>INV00125</x:v>
      </x:c>
      <x:c r="C397" s="2" t="str">
        <x:v>C001</x:v>
      </x:c>
      <x:c r="D397" s="10" t="d">
        <x:v>2026-09-10T00:00:00.000Z</x:v>
      </x:c>
      <x:c r="E397" s="11" t="n">
        <x:v>3214.88</x:v>
      </x:c>
    </x:row>
    <x:row r="398" ht="23" customHeight="1">
      <x:c r="A398" s="2" t="str">
        <x:v>P00003</x:v>
      </x:c>
      <x:c r="B398" s="2" t="str">
        <x:v>INV00004</x:v>
      </x:c>
      <x:c r="C398" s="2" t="str">
        <x:v>C014</x:v>
      </x:c>
      <x:c r="D398" s="10" t="d">
        <x:v>2026-09-11T00:00:00.000Z</x:v>
      </x:c>
      <x:c r="E398" s="11" t="n">
        <x:v>7960.63</x:v>
      </x:c>
    </x:row>
    <x:row r="399" ht="23" customHeight="1">
      <x:c r="A399" s="2" t="str">
        <x:v>P00239</x:v>
      </x:c>
      <x:c r="B399" s="2" t="str">
        <x:v>INV00273</x:v>
      </x:c>
      <x:c r="C399" s="2" t="str">
        <x:v>C037</x:v>
      </x:c>
      <x:c r="D399" s="10" t="d">
        <x:v>2026-09-13T00:00:00.000Z</x:v>
      </x:c>
      <x:c r="E399" s="11" t="n">
        <x:v>953.29</x:v>
      </x:c>
    </x:row>
    <x:row r="400" ht="23" customHeight="1">
      <x:c r="A400" s="2" t="str">
        <x:v>P00269</x:v>
      </x:c>
      <x:c r="B400" s="2" t="str">
        <x:v>INV00313</x:v>
      </x:c>
      <x:c r="C400" s="2" t="str">
        <x:v>C034</x:v>
      </x:c>
      <x:c r="D400" s="10" t="d">
        <x:v>2026-09-13T00:00:00.000Z</x:v>
      </x:c>
      <x:c r="E400" s="11" t="n">
        <x:v>8281.46</x:v>
      </x:c>
    </x:row>
    <x:row r="401" ht="23" customHeight="1">
      <x:c r="A401" s="2" t="str">
        <x:v>P00314</x:v>
      </x:c>
      <x:c r="B401" s="2" t="str">
        <x:v>INV00360</x:v>
      </x:c>
      <x:c r="C401" s="2" t="str">
        <x:v>C024</x:v>
      </x:c>
      <x:c r="D401" s="10" t="d">
        <x:v>2026-09-13T00:00:00.000Z</x:v>
      </x:c>
      <x:c r="E401" s="11" t="n">
        <x:v>5432.92</x:v>
      </x:c>
    </x:row>
    <x:row r="402" ht="23" customHeight="1">
      <x:c r="A402" s="2" t="str">
        <x:v>P00123</x:v>
      </x:c>
      <x:c r="B402" s="2" t="str">
        <x:v>INV00139</x:v>
      </x:c>
      <x:c r="C402" s="2" t="str">
        <x:v>C029</x:v>
      </x:c>
      <x:c r="D402" s="10" t="d">
        <x:v>2026-09-14T00:00:00.000Z</x:v>
      </x:c>
      <x:c r="E402" s="11" t="n">
        <x:v>8332.32</x:v>
      </x:c>
    </x:row>
    <x:row r="403" ht="23" customHeight="1">
      <x:c r="A403" s="2" t="str">
        <x:v>P00276</x:v>
      </x:c>
      <x:c r="B403" s="2" t="str">
        <x:v>INV00319</x:v>
      </x:c>
      <x:c r="C403" s="2" t="str">
        <x:v>C019</x:v>
      </x:c>
      <x:c r="D403" s="10" t="d">
        <x:v>2026-09-14T00:00:00.000Z</x:v>
      </x:c>
      <x:c r="E403" s="11" t="n">
        <x:v>9336.12</x:v>
      </x:c>
    </x:row>
    <x:row r="404" ht="23" customHeight="1">
      <x:c r="A404" s="2" t="str">
        <x:v>P00382</x:v>
      </x:c>
      <x:c r="B404" s="2" t="str">
        <x:v>INV00429</x:v>
      </x:c>
      <x:c r="C404" s="2" t="str">
        <x:v>C018</x:v>
      </x:c>
      <x:c r="D404" s="10" t="d">
        <x:v>2026-09-14T00:00:00.000Z</x:v>
      </x:c>
      <x:c r="E404" s="11" t="n">
        <x:v>3377.71</x:v>
      </x:c>
    </x:row>
    <x:row r="405" ht="23" customHeight="1">
      <x:c r="A405" s="2" t="str">
        <x:v>P00044</x:v>
      </x:c>
      <x:c r="B405" s="2" t="str">
        <x:v>INV00053</x:v>
      </x:c>
      <x:c r="C405" s="2" t="str">
        <x:v>C032</x:v>
      </x:c>
      <x:c r="D405" s="10" t="d">
        <x:v>2026-09-15T00:00:00.000Z</x:v>
      </x:c>
      <x:c r="E405" s="11" t="n">
        <x:v>19711.94</x:v>
      </x:c>
    </x:row>
    <x:row r="406" ht="23" customHeight="1">
      <x:c r="A406" s="2" t="str">
        <x:v>P00103</x:v>
      </x:c>
      <x:c r="B406" s="2" t="str">
        <x:v>INV00113</x:v>
      </x:c>
      <x:c r="C406" s="2" t="str">
        <x:v>C011</x:v>
      </x:c>
      <x:c r="D406" s="10" t="d">
        <x:v>2026-09-15T00:00:00.000Z</x:v>
      </x:c>
      <x:c r="E406" s="11" t="n">
        <x:v>7585.39</x:v>
      </x:c>
    </x:row>
    <x:row r="407" ht="23" customHeight="1">
      <x:c r="A407" s="2" t="str">
        <x:v>P00196</x:v>
      </x:c>
      <x:c r="B407" s="2" t="str">
        <x:v>INV00227</x:v>
      </x:c>
      <x:c r="C407" s="2" t="str">
        <x:v>C025</x:v>
      </x:c>
      <x:c r="D407" s="10" t="d">
        <x:v>2026-09-15T00:00:00.000Z</x:v>
      </x:c>
      <x:c r="E407" s="11" t="n">
        <x:v>15599.39</x:v>
      </x:c>
    </x:row>
    <x:row r="408" ht="23" customHeight="1">
      <x:c r="A408" s="2" t="str">
        <x:v>P00024</x:v>
      </x:c>
      <x:c r="B408" s="2" t="str">
        <x:v>INV00032</x:v>
      </x:c>
      <x:c r="C408" s="2" t="str">
        <x:v>C040</x:v>
      </x:c>
      <x:c r="D408" s="10" t="d">
        <x:v>2026-09-16T00:00:00.000Z</x:v>
      </x:c>
      <x:c r="E408" s="11" t="n">
        <x:v>1189.59</x:v>
      </x:c>
    </x:row>
    <x:row r="409" ht="23" customHeight="1">
      <x:c r="A409" s="2" t="str">
        <x:v>P00201</x:v>
      </x:c>
      <x:c r="B409" s="2" t="str">
        <x:v>INV00233</x:v>
      </x:c>
      <x:c r="C409" s="2" t="str">
        <x:v>C039</x:v>
      </x:c>
      <x:c r="D409" s="10" t="d">
        <x:v>2026-09-17T00:00:00.000Z</x:v>
      </x:c>
      <x:c r="E409" s="11" t="n">
        <x:v>5587.07</x:v>
      </x:c>
    </x:row>
    <x:row r="410" ht="23" customHeight="1">
      <x:c r="A410" s="2" t="str">
        <x:v>P00117</x:v>
      </x:c>
      <x:c r="B410" s="2" t="str">
        <x:v>INV00129</x:v>
      </x:c>
      <x:c r="C410" s="2" t="str">
        <x:v>C021</x:v>
      </x:c>
      <x:c r="D410" s="10" t="d">
        <x:v>2026-09-18T00:00:00.000Z</x:v>
      </x:c>
      <x:c r="E410" s="11" t="n">
        <x:v>6463.11</x:v>
      </x:c>
    </x:row>
    <x:row r="411" ht="23" customHeight="1">
      <x:c r="A411" s="2" t="str">
        <x:v>P00359</x:v>
      </x:c>
      <x:c r="B411" s="2" t="str">
        <x:v>INV00401</x:v>
      </x:c>
      <x:c r="C411" s="2" t="str">
        <x:v>C033</x:v>
      </x:c>
      <x:c r="D411" s="10" t="d">
        <x:v>2026-09-18T00:00:00.000Z</x:v>
      </x:c>
      <x:c r="E411" s="11" t="n">
        <x:v>10711.61</x:v>
      </x:c>
    </x:row>
    <x:row r="412" ht="23" customHeight="1">
      <x:c r="A412" s="2" t="str">
        <x:v>P00017</x:v>
      </x:c>
      <x:c r="B412" s="2" t="str">
        <x:v>INV00023</x:v>
      </x:c>
      <x:c r="C412" s="2" t="str">
        <x:v>C037</x:v>
      </x:c>
      <x:c r="D412" s="10" t="d">
        <x:v>2026-09-20T00:00:00.000Z</x:v>
      </x:c>
      <x:c r="E412" s="11" t="n">
        <x:v>10456.67</x:v>
      </x:c>
    </x:row>
    <x:row r="413" ht="23" customHeight="1">
      <x:c r="A413" s="2" t="str">
        <x:v>P00204</x:v>
      </x:c>
      <x:c r="B413" s="2" t="str">
        <x:v>INV00237</x:v>
      </x:c>
      <x:c r="C413" s="2" t="str">
        <x:v>C027</x:v>
      </x:c>
      <x:c r="D413" s="10" t="d">
        <x:v>2026-09-20T00:00:00.000Z</x:v>
      </x:c>
      <x:c r="E413" s="11" t="n">
        <x:v>4734.2</x:v>
      </x:c>
    </x:row>
    <x:row r="414" ht="23" customHeight="1">
      <x:c r="A414" s="2" t="str">
        <x:v>P00143</x:v>
      </x:c>
      <x:c r="B414" s="2" t="str">
        <x:v>INV00163</x:v>
      </x:c>
      <x:c r="C414" s="2" t="str">
        <x:v>C021</x:v>
      </x:c>
      <x:c r="D414" s="10" t="d">
        <x:v>2026-09-21T00:00:00.000Z</x:v>
      </x:c>
      <x:c r="E414" s="11" t="n">
        <x:v>18280.66</x:v>
      </x:c>
    </x:row>
    <x:row r="415" ht="23" customHeight="1">
      <x:c r="A415" s="2" t="str">
        <x:v>P00249</x:v>
      </x:c>
      <x:c r="B415" s="2" t="str">
        <x:v>INV00284</x:v>
      </x:c>
      <x:c r="C415" s="2" t="str">
        <x:v>C013</x:v>
      </x:c>
      <x:c r="D415" s="10" t="d">
        <x:v>2026-09-21T00:00:00.000Z</x:v>
      </x:c>
      <x:c r="E415" s="11" t="n">
        <x:v>13859.31</x:v>
      </x:c>
    </x:row>
    <x:row r="416" ht="23" customHeight="1">
      <x:c r="A416" s="2" t="str">
        <x:v>P00038</x:v>
      </x:c>
      <x:c r="B416" s="2" t="str">
        <x:v>INV00048</x:v>
      </x:c>
      <x:c r="C416" s="2" t="str">
        <x:v>C036</x:v>
      </x:c>
      <x:c r="D416" s="10" t="d">
        <x:v>2026-09-22T00:00:00.000Z</x:v>
      </x:c>
      <x:c r="E416" s="11" t="n">
        <x:v>12215.76</x:v>
      </x:c>
    </x:row>
    <x:row r="417" ht="23" customHeight="1">
      <x:c r="A417" s="2" t="str">
        <x:v>P00189</x:v>
      </x:c>
      <x:c r="B417" s="2" t="str">
        <x:v>INV00217</x:v>
      </x:c>
      <x:c r="C417" s="2" t="str">
        <x:v>C030</x:v>
      </x:c>
      <x:c r="D417" s="10" t="d">
        <x:v>2026-09-22T00:00:00.000Z</x:v>
      </x:c>
      <x:c r="E417" s="11" t="n">
        <x:v>9969.84</x:v>
      </x:c>
    </x:row>
    <x:row r="418" ht="23" customHeight="1">
      <x:c r="A418" s="2" t="str">
        <x:v>P00080</x:v>
      </x:c>
      <x:c r="B418" s="2" t="str">
        <x:v>INV00086</x:v>
      </x:c>
      <x:c r="C418" s="2" t="str">
        <x:v>C032</x:v>
      </x:c>
      <x:c r="D418" s="10" t="d">
        <x:v>2026-09-23T00:00:00.000Z</x:v>
      </x:c>
      <x:c r="E418" s="11" t="n">
        <x:v>4631.42</x:v>
      </x:c>
    </x:row>
    <x:row r="419" ht="23" customHeight="1">
      <x:c r="A419" s="2" t="str">
        <x:v>P00008</x:v>
      </x:c>
      <x:c r="B419" s="2" t="str">
        <x:v>INV00013</x:v>
      </x:c>
      <x:c r="C419" s="2" t="str">
        <x:v>C016</x:v>
      </x:c>
      <x:c r="D419" s="10" t="d">
        <x:v>2026-09-24T00:00:00.000Z</x:v>
      </x:c>
      <x:c r="E419" s="11" t="n">
        <x:v>3258.01</x:v>
      </x:c>
    </x:row>
    <x:row r="420" ht="23" customHeight="1">
      <x:c r="A420" s="2" t="str">
        <x:v>P00334</x:v>
      </x:c>
      <x:c r="B420" s="2" t="str">
        <x:v>INV00378</x:v>
      </x:c>
      <x:c r="C420" s="2" t="str">
        <x:v>C019</x:v>
      </x:c>
      <x:c r="D420" s="10" t="d">
        <x:v>2026-09-24T00:00:00.000Z</x:v>
      </x:c>
      <x:c r="E420" s="11" t="n">
        <x:v>2542.57</x:v>
      </x:c>
    </x:row>
    <x:row r="421" ht="23" customHeight="1">
      <x:c r="A421" s="2" t="str">
        <x:v>P00190</x:v>
      </x:c>
      <x:c r="B421" s="2" t="str">
        <x:v>INV00218</x:v>
      </x:c>
      <x:c r="C421" s="2" t="str">
        <x:v>C017</x:v>
      </x:c>
      <x:c r="D421" s="10" t="d">
        <x:v>2026-09-25T00:00:00.000Z</x:v>
      </x:c>
      <x:c r="E421" s="11" t="n">
        <x:v>2240.27</x:v>
      </x:c>
    </x:row>
    <x:row r="422" ht="23" customHeight="1">
      <x:c r="A422" s="2" t="str">
        <x:v>P00400</x:v>
      </x:c>
      <x:c r="B422" s="2" t="str">
        <x:v>INV00448</x:v>
      </x:c>
      <x:c r="C422" s="2" t="str">
        <x:v>C032</x:v>
      </x:c>
      <x:c r="D422" s="10" t="d">
        <x:v>2026-09-25T00:00:00.000Z</x:v>
      </x:c>
      <x:c r="E422" s="11" t="n">
        <x:v>2720.03</x:v>
      </x:c>
    </x:row>
    <x:row r="423" ht="23" customHeight="1">
      <x:c r="A423" s="2" t="str">
        <x:v>P00157</x:v>
      </x:c>
      <x:c r="B423" s="2" t="str">
        <x:v>INV00183</x:v>
      </x:c>
      <x:c r="C423" s="2" t="str">
        <x:v>C022</x:v>
      </x:c>
      <x:c r="D423" s="10" t="d">
        <x:v>2026-09-26T00:00:00.000Z</x:v>
      </x:c>
      <x:c r="E423" s="11" t="n">
        <x:v>3898.06</x:v>
      </x:c>
    </x:row>
    <x:row r="424" ht="23" customHeight="1">
      <x:c r="A424" s="2" t="str">
        <x:v>P00167</x:v>
      </x:c>
      <x:c r="B424" s="2" t="str">
        <x:v>INV00193</x:v>
      </x:c>
      <x:c r="C424" s="2" t="str">
        <x:v>C040</x:v>
      </x:c>
      <x:c r="D424" s="10" t="d">
        <x:v>2026-09-26T00:00:00.000Z</x:v>
      </x:c>
      <x:c r="E424" s="11" t="n">
        <x:v>5989</x:v>
      </x:c>
    </x:row>
    <x:row r="425" ht="23" customHeight="1">
      <x:c r="A425" s="2" t="str">
        <x:v>P00418</x:v>
      </x:c>
      <x:c r="B425" s="2" t="str">
        <x:v>INV00471</x:v>
      </x:c>
      <x:c r="C425" s="2" t="str">
        <x:v>C036</x:v>
      </x:c>
      <x:c r="D425" s="10" t="d">
        <x:v>2026-09-26T00:00:00.000Z</x:v>
      </x:c>
      <x:c r="E425" s="11" t="n">
        <x:v>11006.39</x:v>
      </x:c>
    </x:row>
    <x:row r="426" ht="23" customHeight="1">
      <x:c r="A426" s="2" t="str">
        <x:v>P00079</x:v>
      </x:c>
      <x:c r="B426" s="2" t="str">
        <x:v>INV00085</x:v>
      </x:c>
      <x:c r="C426" s="2" t="str">
        <x:v>C022</x:v>
      </x:c>
      <x:c r="D426" s="10" t="d">
        <x:v>2026-09-27T00:00:00.000Z</x:v>
      </x:c>
      <x:c r="E426" s="11" t="n">
        <x:v>18802.86</x:v>
      </x:c>
    </x:row>
    <x:row r="427" ht="23" customHeight="1">
      <x:c r="A427" s="2" t="str">
        <x:v>P00034</x:v>
      </x:c>
      <x:c r="B427" s="2" t="str">
        <x:v>INV00042</x:v>
      </x:c>
      <x:c r="C427" s="2" t="str">
        <x:v>C024</x:v>
      </x:c>
      <x:c r="D427" s="10" t="d">
        <x:v>2026-09-29T00:00:00.000Z</x:v>
      </x:c>
      <x:c r="E427" s="11" t="n">
        <x:v>9642.1</x:v>
      </x:c>
    </x:row>
    <x:row r="428" ht="23" customHeight="1">
      <x:c r="A428" s="2" t="str">
        <x:v>P00206</x:v>
      </x:c>
      <x:c r="B428" s="2" t="str">
        <x:v>INV00240</x:v>
      </x:c>
      <x:c r="C428" s="2" t="str">
        <x:v>C028</x:v>
      </x:c>
      <x:c r="D428" s="10" t="d">
        <x:v>2026-09-29T00:00:00.000Z</x:v>
      </x:c>
      <x:c r="E428" s="11" t="n">
        <x:v>17461.78</x:v>
      </x:c>
    </x:row>
    <x:row r="429" ht="23" customHeight="1">
      <x:c r="A429" s="2" t="str">
        <x:v>P00174</x:v>
      </x:c>
      <x:c r="B429" s="2" t="str">
        <x:v>INV00202</x:v>
      </x:c>
      <x:c r="C429" s="2" t="str">
        <x:v>C038</x:v>
      </x:c>
      <x:c r="D429" s="10" t="d">
        <x:v>2026-09-30T00:00:00.000Z</x:v>
      </x:c>
      <x:c r="E429" s="11" t="n">
        <x:v>4357.65</x:v>
      </x:c>
    </x:row>
  </x:sheetData>
  <x:pageMargins left="0.7" right="0.7" top="0.75" bottom="0.75" header="0.3" footer="0.3"/>
  <x:tableParts count="1">
    <x:tablePart xmlns:r="http://schemas.openxmlformats.org/officeDocument/2006/relationships" r:id="R0b76512cce654b7a"/>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13" hidden="0" customWidth="1"/>
    <x:col min="3" max="3" width="18" hidden="0" customWidth="1"/>
    <x:col min="4" max="4" width="18" hidden="0" customWidth="1"/>
    <x:col min="5" max="5" width="20" hidden="0" customWidth="1"/>
    <x:col min="6" max="6" width="20" hidden="0" customWidth="1"/>
  </x:cols>
  <x:sheetData>
    <x:row r="1" ht="30" customHeight="1">
      <x:c r="A1" s="3" t="str">
        <x:v>Calendar</x:v>
      </x:c>
      <x:c r="B1" s="2"/>
      <x:c r="C1" s="2"/>
      <x:c r="D1" s="2"/>
      <x:c r="E1" s="2"/>
      <x:c r="F1" s="2"/>
    </x:row>
    <x:row r="2" ht="23" customHeight="1">
      <x:c r="A2" s="4" t="str">
        <x:v>Fictional portfolio data generated for this project. All amounts are CAD.</x:v>
      </x:c>
      <x:c r="B2" s="2"/>
      <x:c r="C2" s="2"/>
      <x:c r="D2" s="2"/>
      <x:c r="E2" s="2"/>
      <x:c r="F2" s="2"/>
    </x:row>
    <x:row r="3" ht="23" customHeight="1">
      <x:c r="A3" s="5"/>
      <x:c r="B3" s="5"/>
      <x:c r="C3" s="5"/>
      <x:c r="D3" s="5"/>
      <x:c r="E3" s="5"/>
      <x:c r="F3" s="5"/>
    </x:row>
    <x:row r="4" ht="34" customHeight="1">
      <x:c r="A4" s="9" t="str">
        <x:v>Date</x:v>
      </x:c>
      <x:c r="B4" s="9" t="str">
        <x:v>Year</x:v>
      </x:c>
      <x:c r="C4" s="9" t="str">
        <x:v>MonthNumber</x:v>
      </x:c>
      <x:c r="D4" s="9" t="str">
        <x:v>MonthName</x:v>
      </x:c>
      <x:c r="E4" s="9" t="str">
        <x:v>YearMonth</x:v>
      </x:c>
      <x:c r="F4" s="9" t="str">
        <x:v>YearMonthSort</x:v>
      </x:c>
    </x:row>
    <x:row r="5" ht="23" customHeight="1">
      <x:c r="A5" s="10" t="d">
        <x:v>2026-01-01T00:00:00.000Z</x:v>
      </x:c>
      <x:c r="B5" s="2" t="n">
        <x:v>2026</x:v>
      </x:c>
      <x:c r="C5" s="2" t="n">
        <x:v>1</x:v>
      </x:c>
      <x:c r="D5" s="2" t="str">
        <x:v>Jan</x:v>
      </x:c>
      <x:c r="E5" s="2" t="str">
        <x:v>2026-01</x:v>
      </x:c>
      <x:c r="F5" s="2" t="n">
        <x:v>202601</x:v>
      </x:c>
    </x:row>
    <x:row r="6" ht="23" customHeight="1">
      <x:c r="A6" s="10" t="d">
        <x:v>2026-01-02T00:00:00.000Z</x:v>
      </x:c>
      <x:c r="B6" s="2" t="n">
        <x:v>2026</x:v>
      </x:c>
      <x:c r="C6" s="2" t="n">
        <x:v>1</x:v>
      </x:c>
      <x:c r="D6" s="2" t="str">
        <x:v>Jan</x:v>
      </x:c>
      <x:c r="E6" s="2" t="str">
        <x:v>2026-01</x:v>
      </x:c>
      <x:c r="F6" s="2" t="n">
        <x:v>202601</x:v>
      </x:c>
    </x:row>
    <x:row r="7" ht="23" customHeight="1">
      <x:c r="A7" s="10" t="d">
        <x:v>2026-01-03T00:00:00.000Z</x:v>
      </x:c>
      <x:c r="B7" s="2" t="n">
        <x:v>2026</x:v>
      </x:c>
      <x:c r="C7" s="2" t="n">
        <x:v>1</x:v>
      </x:c>
      <x:c r="D7" s="2" t="str">
        <x:v>Jan</x:v>
      </x:c>
      <x:c r="E7" s="2" t="str">
        <x:v>2026-01</x:v>
      </x:c>
      <x:c r="F7" s="2" t="n">
        <x:v>202601</x:v>
      </x:c>
    </x:row>
    <x:row r="8" ht="23" customHeight="1">
      <x:c r="A8" s="10" t="d">
        <x:v>2026-01-04T00:00:00.000Z</x:v>
      </x:c>
      <x:c r="B8" s="2" t="n">
        <x:v>2026</x:v>
      </x:c>
      <x:c r="C8" s="2" t="n">
        <x:v>1</x:v>
      </x:c>
      <x:c r="D8" s="2" t="str">
        <x:v>Jan</x:v>
      </x:c>
      <x:c r="E8" s="2" t="str">
        <x:v>2026-01</x:v>
      </x:c>
      <x:c r="F8" s="2" t="n">
        <x:v>202601</x:v>
      </x:c>
    </x:row>
    <x:row r="9" ht="23" customHeight="1">
      <x:c r="A9" s="10" t="d">
        <x:v>2026-01-05T00:00:00.000Z</x:v>
      </x:c>
      <x:c r="B9" s="2" t="n">
        <x:v>2026</x:v>
      </x:c>
      <x:c r="C9" s="2" t="n">
        <x:v>1</x:v>
      </x:c>
      <x:c r="D9" s="2" t="str">
        <x:v>Jan</x:v>
      </x:c>
      <x:c r="E9" s="2" t="str">
        <x:v>2026-01</x:v>
      </x:c>
      <x:c r="F9" s="2" t="n">
        <x:v>202601</x:v>
      </x:c>
    </x:row>
    <x:row r="10" ht="23" customHeight="1">
      <x:c r="A10" s="10" t="d">
        <x:v>2026-01-06T00:00:00.000Z</x:v>
      </x:c>
      <x:c r="B10" s="2" t="n">
        <x:v>2026</x:v>
      </x:c>
      <x:c r="C10" s="2" t="n">
        <x:v>1</x:v>
      </x:c>
      <x:c r="D10" s="2" t="str">
        <x:v>Jan</x:v>
      </x:c>
      <x:c r="E10" s="2" t="str">
        <x:v>2026-01</x:v>
      </x:c>
      <x:c r="F10" s="2" t="n">
        <x:v>202601</x:v>
      </x:c>
    </x:row>
    <x:row r="11" ht="23" customHeight="1">
      <x:c r="A11" s="10" t="d">
        <x:v>2026-01-07T00:00:00.000Z</x:v>
      </x:c>
      <x:c r="B11" s="2" t="n">
        <x:v>2026</x:v>
      </x:c>
      <x:c r="C11" s="2" t="n">
        <x:v>1</x:v>
      </x:c>
      <x:c r="D11" s="2" t="str">
        <x:v>Jan</x:v>
      </x:c>
      <x:c r="E11" s="2" t="str">
        <x:v>2026-01</x:v>
      </x:c>
      <x:c r="F11" s="2" t="n">
        <x:v>202601</x:v>
      </x:c>
    </x:row>
    <x:row r="12" ht="23" customHeight="1">
      <x:c r="A12" s="10" t="d">
        <x:v>2026-01-08T00:00:00.000Z</x:v>
      </x:c>
      <x:c r="B12" s="2" t="n">
        <x:v>2026</x:v>
      </x:c>
      <x:c r="C12" s="2" t="n">
        <x:v>1</x:v>
      </x:c>
      <x:c r="D12" s="2" t="str">
        <x:v>Jan</x:v>
      </x:c>
      <x:c r="E12" s="2" t="str">
        <x:v>2026-01</x:v>
      </x:c>
      <x:c r="F12" s="2" t="n">
        <x:v>202601</x:v>
      </x:c>
    </x:row>
    <x:row r="13" ht="23" customHeight="1">
      <x:c r="A13" s="10" t="d">
        <x:v>2026-01-09T00:00:00.000Z</x:v>
      </x:c>
      <x:c r="B13" s="2" t="n">
        <x:v>2026</x:v>
      </x:c>
      <x:c r="C13" s="2" t="n">
        <x:v>1</x:v>
      </x:c>
      <x:c r="D13" s="2" t="str">
        <x:v>Jan</x:v>
      </x:c>
      <x:c r="E13" s="2" t="str">
        <x:v>2026-01</x:v>
      </x:c>
      <x:c r="F13" s="2" t="n">
        <x:v>202601</x:v>
      </x:c>
    </x:row>
    <x:row r="14" ht="23" customHeight="1">
      <x:c r="A14" s="10" t="d">
        <x:v>2026-01-10T00:00:00.000Z</x:v>
      </x:c>
      <x:c r="B14" s="2" t="n">
        <x:v>2026</x:v>
      </x:c>
      <x:c r="C14" s="2" t="n">
        <x:v>1</x:v>
      </x:c>
      <x:c r="D14" s="2" t="str">
        <x:v>Jan</x:v>
      </x:c>
      <x:c r="E14" s="2" t="str">
        <x:v>2026-01</x:v>
      </x:c>
      <x:c r="F14" s="2" t="n">
        <x:v>202601</x:v>
      </x:c>
    </x:row>
    <x:row r="15" ht="23" customHeight="1">
      <x:c r="A15" s="10" t="d">
        <x:v>2026-01-11T00:00:00.000Z</x:v>
      </x:c>
      <x:c r="B15" s="2" t="n">
        <x:v>2026</x:v>
      </x:c>
      <x:c r="C15" s="2" t="n">
        <x:v>1</x:v>
      </x:c>
      <x:c r="D15" s="2" t="str">
        <x:v>Jan</x:v>
      </x:c>
      <x:c r="E15" s="2" t="str">
        <x:v>2026-01</x:v>
      </x:c>
      <x:c r="F15" s="2" t="n">
        <x:v>202601</x:v>
      </x:c>
    </x:row>
    <x:row r="16" ht="23" customHeight="1">
      <x:c r="A16" s="10" t="d">
        <x:v>2026-01-12T00:00:00.000Z</x:v>
      </x:c>
      <x:c r="B16" s="2" t="n">
        <x:v>2026</x:v>
      </x:c>
      <x:c r="C16" s="2" t="n">
        <x:v>1</x:v>
      </x:c>
      <x:c r="D16" s="2" t="str">
        <x:v>Jan</x:v>
      </x:c>
      <x:c r="E16" s="2" t="str">
        <x:v>2026-01</x:v>
      </x:c>
      <x:c r="F16" s="2" t="n">
        <x:v>202601</x:v>
      </x:c>
    </x:row>
    <x:row r="17" ht="23" customHeight="1">
      <x:c r="A17" s="10" t="d">
        <x:v>2026-01-13T00:00:00.000Z</x:v>
      </x:c>
      <x:c r="B17" s="2" t="n">
        <x:v>2026</x:v>
      </x:c>
      <x:c r="C17" s="2" t="n">
        <x:v>1</x:v>
      </x:c>
      <x:c r="D17" s="2" t="str">
        <x:v>Jan</x:v>
      </x:c>
      <x:c r="E17" s="2" t="str">
        <x:v>2026-01</x:v>
      </x:c>
      <x:c r="F17" s="2" t="n">
        <x:v>202601</x:v>
      </x:c>
    </x:row>
    <x:row r="18" ht="23" customHeight="1">
      <x:c r="A18" s="10" t="d">
        <x:v>2026-01-14T00:00:00.000Z</x:v>
      </x:c>
      <x:c r="B18" s="2" t="n">
        <x:v>2026</x:v>
      </x:c>
      <x:c r="C18" s="2" t="n">
        <x:v>1</x:v>
      </x:c>
      <x:c r="D18" s="2" t="str">
        <x:v>Jan</x:v>
      </x:c>
      <x:c r="E18" s="2" t="str">
        <x:v>2026-01</x:v>
      </x:c>
      <x:c r="F18" s="2" t="n">
        <x:v>202601</x:v>
      </x:c>
    </x:row>
    <x:row r="19" ht="23" customHeight="1">
      <x:c r="A19" s="10" t="d">
        <x:v>2026-01-15T00:00:00.000Z</x:v>
      </x:c>
      <x:c r="B19" s="2" t="n">
        <x:v>2026</x:v>
      </x:c>
      <x:c r="C19" s="2" t="n">
        <x:v>1</x:v>
      </x:c>
      <x:c r="D19" s="2" t="str">
        <x:v>Jan</x:v>
      </x:c>
      <x:c r="E19" s="2" t="str">
        <x:v>2026-01</x:v>
      </x:c>
      <x:c r="F19" s="2" t="n">
        <x:v>202601</x:v>
      </x:c>
    </x:row>
    <x:row r="20" ht="23" customHeight="1">
      <x:c r="A20" s="10" t="d">
        <x:v>2026-01-16T00:00:00.000Z</x:v>
      </x:c>
      <x:c r="B20" s="2" t="n">
        <x:v>2026</x:v>
      </x:c>
      <x:c r="C20" s="2" t="n">
        <x:v>1</x:v>
      </x:c>
      <x:c r="D20" s="2" t="str">
        <x:v>Jan</x:v>
      </x:c>
      <x:c r="E20" s="2" t="str">
        <x:v>2026-01</x:v>
      </x:c>
      <x:c r="F20" s="2" t="n">
        <x:v>202601</x:v>
      </x:c>
    </x:row>
    <x:row r="21" ht="23" customHeight="1">
      <x:c r="A21" s="10" t="d">
        <x:v>2026-01-17T00:00:00.000Z</x:v>
      </x:c>
      <x:c r="B21" s="2" t="n">
        <x:v>2026</x:v>
      </x:c>
      <x:c r="C21" s="2" t="n">
        <x:v>1</x:v>
      </x:c>
      <x:c r="D21" s="2" t="str">
        <x:v>Jan</x:v>
      </x:c>
      <x:c r="E21" s="2" t="str">
        <x:v>2026-01</x:v>
      </x:c>
      <x:c r="F21" s="2" t="n">
        <x:v>202601</x:v>
      </x:c>
    </x:row>
    <x:row r="22" ht="23" customHeight="1">
      <x:c r="A22" s="10" t="d">
        <x:v>2026-01-18T00:00:00.000Z</x:v>
      </x:c>
      <x:c r="B22" s="2" t="n">
        <x:v>2026</x:v>
      </x:c>
      <x:c r="C22" s="2" t="n">
        <x:v>1</x:v>
      </x:c>
      <x:c r="D22" s="2" t="str">
        <x:v>Jan</x:v>
      </x:c>
      <x:c r="E22" s="2" t="str">
        <x:v>2026-01</x:v>
      </x:c>
      <x:c r="F22" s="2" t="n">
        <x:v>202601</x:v>
      </x:c>
    </x:row>
    <x:row r="23" ht="23" customHeight="1">
      <x:c r="A23" s="10" t="d">
        <x:v>2026-01-19T00:00:00.000Z</x:v>
      </x:c>
      <x:c r="B23" s="2" t="n">
        <x:v>2026</x:v>
      </x:c>
      <x:c r="C23" s="2" t="n">
        <x:v>1</x:v>
      </x:c>
      <x:c r="D23" s="2" t="str">
        <x:v>Jan</x:v>
      </x:c>
      <x:c r="E23" s="2" t="str">
        <x:v>2026-01</x:v>
      </x:c>
      <x:c r="F23" s="2" t="n">
        <x:v>202601</x:v>
      </x:c>
    </x:row>
    <x:row r="24" ht="23" customHeight="1">
      <x:c r="A24" s="10" t="d">
        <x:v>2026-01-20T00:00:00.000Z</x:v>
      </x:c>
      <x:c r="B24" s="2" t="n">
        <x:v>2026</x:v>
      </x:c>
      <x:c r="C24" s="2" t="n">
        <x:v>1</x:v>
      </x:c>
      <x:c r="D24" s="2" t="str">
        <x:v>Jan</x:v>
      </x:c>
      <x:c r="E24" s="2" t="str">
        <x:v>2026-01</x:v>
      </x:c>
      <x:c r="F24" s="2" t="n">
        <x:v>202601</x:v>
      </x:c>
    </x:row>
    <x:row r="25" ht="23" customHeight="1">
      <x:c r="A25" s="10" t="d">
        <x:v>2026-01-21T00:00:00.000Z</x:v>
      </x:c>
      <x:c r="B25" s="2" t="n">
        <x:v>2026</x:v>
      </x:c>
      <x:c r="C25" s="2" t="n">
        <x:v>1</x:v>
      </x:c>
      <x:c r="D25" s="2" t="str">
        <x:v>Jan</x:v>
      </x:c>
      <x:c r="E25" s="2" t="str">
        <x:v>2026-01</x:v>
      </x:c>
      <x:c r="F25" s="2" t="n">
        <x:v>202601</x:v>
      </x:c>
    </x:row>
    <x:row r="26" ht="23" customHeight="1">
      <x:c r="A26" s="10" t="d">
        <x:v>2026-01-22T00:00:00.000Z</x:v>
      </x:c>
      <x:c r="B26" s="2" t="n">
        <x:v>2026</x:v>
      </x:c>
      <x:c r="C26" s="2" t="n">
        <x:v>1</x:v>
      </x:c>
      <x:c r="D26" s="2" t="str">
        <x:v>Jan</x:v>
      </x:c>
      <x:c r="E26" s="2" t="str">
        <x:v>2026-01</x:v>
      </x:c>
      <x:c r="F26" s="2" t="n">
        <x:v>202601</x:v>
      </x:c>
    </x:row>
    <x:row r="27" ht="23" customHeight="1">
      <x:c r="A27" s="10" t="d">
        <x:v>2026-01-23T00:00:00.000Z</x:v>
      </x:c>
      <x:c r="B27" s="2" t="n">
        <x:v>2026</x:v>
      </x:c>
      <x:c r="C27" s="2" t="n">
        <x:v>1</x:v>
      </x:c>
      <x:c r="D27" s="2" t="str">
        <x:v>Jan</x:v>
      </x:c>
      <x:c r="E27" s="2" t="str">
        <x:v>2026-01</x:v>
      </x:c>
      <x:c r="F27" s="2" t="n">
        <x:v>202601</x:v>
      </x:c>
    </x:row>
    <x:row r="28" ht="23" customHeight="1">
      <x:c r="A28" s="10" t="d">
        <x:v>2026-01-24T00:00:00.000Z</x:v>
      </x:c>
      <x:c r="B28" s="2" t="n">
        <x:v>2026</x:v>
      </x:c>
      <x:c r="C28" s="2" t="n">
        <x:v>1</x:v>
      </x:c>
      <x:c r="D28" s="2" t="str">
        <x:v>Jan</x:v>
      </x:c>
      <x:c r="E28" s="2" t="str">
        <x:v>2026-01</x:v>
      </x:c>
      <x:c r="F28" s="2" t="n">
        <x:v>202601</x:v>
      </x:c>
    </x:row>
    <x:row r="29" ht="23" customHeight="1">
      <x:c r="A29" s="10" t="d">
        <x:v>2026-01-25T00:00:00.000Z</x:v>
      </x:c>
      <x:c r="B29" s="2" t="n">
        <x:v>2026</x:v>
      </x:c>
      <x:c r="C29" s="2" t="n">
        <x:v>1</x:v>
      </x:c>
      <x:c r="D29" s="2" t="str">
        <x:v>Jan</x:v>
      </x:c>
      <x:c r="E29" s="2" t="str">
        <x:v>2026-01</x:v>
      </x:c>
      <x:c r="F29" s="2" t="n">
        <x:v>202601</x:v>
      </x:c>
    </x:row>
    <x:row r="30" ht="23" customHeight="1">
      <x:c r="A30" s="10" t="d">
        <x:v>2026-01-26T00:00:00.000Z</x:v>
      </x:c>
      <x:c r="B30" s="2" t="n">
        <x:v>2026</x:v>
      </x:c>
      <x:c r="C30" s="2" t="n">
        <x:v>1</x:v>
      </x:c>
      <x:c r="D30" s="2" t="str">
        <x:v>Jan</x:v>
      </x:c>
      <x:c r="E30" s="2" t="str">
        <x:v>2026-01</x:v>
      </x:c>
      <x:c r="F30" s="2" t="n">
        <x:v>202601</x:v>
      </x:c>
    </x:row>
    <x:row r="31" ht="23" customHeight="1">
      <x:c r="A31" s="10" t="d">
        <x:v>2026-01-27T00:00:00.000Z</x:v>
      </x:c>
      <x:c r="B31" s="2" t="n">
        <x:v>2026</x:v>
      </x:c>
      <x:c r="C31" s="2" t="n">
        <x:v>1</x:v>
      </x:c>
      <x:c r="D31" s="2" t="str">
        <x:v>Jan</x:v>
      </x:c>
      <x:c r="E31" s="2" t="str">
        <x:v>2026-01</x:v>
      </x:c>
      <x:c r="F31" s="2" t="n">
        <x:v>202601</x:v>
      </x:c>
    </x:row>
    <x:row r="32" ht="23" customHeight="1">
      <x:c r="A32" s="10" t="d">
        <x:v>2026-01-28T00:00:00.000Z</x:v>
      </x:c>
      <x:c r="B32" s="2" t="n">
        <x:v>2026</x:v>
      </x:c>
      <x:c r="C32" s="2" t="n">
        <x:v>1</x:v>
      </x:c>
      <x:c r="D32" s="2" t="str">
        <x:v>Jan</x:v>
      </x:c>
      <x:c r="E32" s="2" t="str">
        <x:v>2026-01</x:v>
      </x:c>
      <x:c r="F32" s="2" t="n">
        <x:v>202601</x:v>
      </x:c>
    </x:row>
    <x:row r="33" ht="23" customHeight="1">
      <x:c r="A33" s="10" t="d">
        <x:v>2026-01-29T00:00:00.000Z</x:v>
      </x:c>
      <x:c r="B33" s="2" t="n">
        <x:v>2026</x:v>
      </x:c>
      <x:c r="C33" s="2" t="n">
        <x:v>1</x:v>
      </x:c>
      <x:c r="D33" s="2" t="str">
        <x:v>Jan</x:v>
      </x:c>
      <x:c r="E33" s="2" t="str">
        <x:v>2026-01</x:v>
      </x:c>
      <x:c r="F33" s="2" t="n">
        <x:v>202601</x:v>
      </x:c>
    </x:row>
    <x:row r="34" ht="23" customHeight="1">
      <x:c r="A34" s="10" t="d">
        <x:v>2026-01-30T00:00:00.000Z</x:v>
      </x:c>
      <x:c r="B34" s="2" t="n">
        <x:v>2026</x:v>
      </x:c>
      <x:c r="C34" s="2" t="n">
        <x:v>1</x:v>
      </x:c>
      <x:c r="D34" s="2" t="str">
        <x:v>Jan</x:v>
      </x:c>
      <x:c r="E34" s="2" t="str">
        <x:v>2026-01</x:v>
      </x:c>
      <x:c r="F34" s="2" t="n">
        <x:v>202601</x:v>
      </x:c>
    </x:row>
    <x:row r="35" ht="23" customHeight="1">
      <x:c r="A35" s="10" t="d">
        <x:v>2026-01-31T00:00:00.000Z</x:v>
      </x:c>
      <x:c r="B35" s="2" t="n">
        <x:v>2026</x:v>
      </x:c>
      <x:c r="C35" s="2" t="n">
        <x:v>1</x:v>
      </x:c>
      <x:c r="D35" s="2" t="str">
        <x:v>Jan</x:v>
      </x:c>
      <x:c r="E35" s="2" t="str">
        <x:v>2026-01</x:v>
      </x:c>
      <x:c r="F35" s="2" t="n">
        <x:v>202601</x:v>
      </x:c>
    </x:row>
    <x:row r="36" ht="23" customHeight="1">
      <x:c r="A36" s="10" t="d">
        <x:v>2026-02-01T00:00:00.000Z</x:v>
      </x:c>
      <x:c r="B36" s="2" t="n">
        <x:v>2026</x:v>
      </x:c>
      <x:c r="C36" s="2" t="n">
        <x:v>2</x:v>
      </x:c>
      <x:c r="D36" s="2" t="str">
        <x:v>Feb</x:v>
      </x:c>
      <x:c r="E36" s="2" t="str">
        <x:v>2026-02</x:v>
      </x:c>
      <x:c r="F36" s="2" t="n">
        <x:v>202602</x:v>
      </x:c>
    </x:row>
    <x:row r="37" ht="23" customHeight="1">
      <x:c r="A37" s="10" t="d">
        <x:v>2026-02-02T00:00:00.000Z</x:v>
      </x:c>
      <x:c r="B37" s="2" t="n">
        <x:v>2026</x:v>
      </x:c>
      <x:c r="C37" s="2" t="n">
        <x:v>2</x:v>
      </x:c>
      <x:c r="D37" s="2" t="str">
        <x:v>Feb</x:v>
      </x:c>
      <x:c r="E37" s="2" t="str">
        <x:v>2026-02</x:v>
      </x:c>
      <x:c r="F37" s="2" t="n">
        <x:v>202602</x:v>
      </x:c>
    </x:row>
    <x:row r="38" ht="23" customHeight="1">
      <x:c r="A38" s="10" t="d">
        <x:v>2026-02-03T00:00:00.000Z</x:v>
      </x:c>
      <x:c r="B38" s="2" t="n">
        <x:v>2026</x:v>
      </x:c>
      <x:c r="C38" s="2" t="n">
        <x:v>2</x:v>
      </x:c>
      <x:c r="D38" s="2" t="str">
        <x:v>Feb</x:v>
      </x:c>
      <x:c r="E38" s="2" t="str">
        <x:v>2026-02</x:v>
      </x:c>
      <x:c r="F38" s="2" t="n">
        <x:v>202602</x:v>
      </x:c>
    </x:row>
    <x:row r="39" ht="23" customHeight="1">
      <x:c r="A39" s="10" t="d">
        <x:v>2026-02-04T00:00:00.000Z</x:v>
      </x:c>
      <x:c r="B39" s="2" t="n">
        <x:v>2026</x:v>
      </x:c>
      <x:c r="C39" s="2" t="n">
        <x:v>2</x:v>
      </x:c>
      <x:c r="D39" s="2" t="str">
        <x:v>Feb</x:v>
      </x:c>
      <x:c r="E39" s="2" t="str">
        <x:v>2026-02</x:v>
      </x:c>
      <x:c r="F39" s="2" t="n">
        <x:v>202602</x:v>
      </x:c>
    </x:row>
    <x:row r="40" ht="23" customHeight="1">
      <x:c r="A40" s="10" t="d">
        <x:v>2026-02-05T00:00:00.000Z</x:v>
      </x:c>
      <x:c r="B40" s="2" t="n">
        <x:v>2026</x:v>
      </x:c>
      <x:c r="C40" s="2" t="n">
        <x:v>2</x:v>
      </x:c>
      <x:c r="D40" s="2" t="str">
        <x:v>Feb</x:v>
      </x:c>
      <x:c r="E40" s="2" t="str">
        <x:v>2026-02</x:v>
      </x:c>
      <x:c r="F40" s="2" t="n">
        <x:v>202602</x:v>
      </x:c>
    </x:row>
    <x:row r="41" ht="23" customHeight="1">
      <x:c r="A41" s="10" t="d">
        <x:v>2026-02-06T00:00:00.000Z</x:v>
      </x:c>
      <x:c r="B41" s="2" t="n">
        <x:v>2026</x:v>
      </x:c>
      <x:c r="C41" s="2" t="n">
        <x:v>2</x:v>
      </x:c>
      <x:c r="D41" s="2" t="str">
        <x:v>Feb</x:v>
      </x:c>
      <x:c r="E41" s="2" t="str">
        <x:v>2026-02</x:v>
      </x:c>
      <x:c r="F41" s="2" t="n">
        <x:v>202602</x:v>
      </x:c>
    </x:row>
    <x:row r="42" ht="23" customHeight="1">
      <x:c r="A42" s="10" t="d">
        <x:v>2026-02-07T00:00:00.000Z</x:v>
      </x:c>
      <x:c r="B42" s="2" t="n">
        <x:v>2026</x:v>
      </x:c>
      <x:c r="C42" s="2" t="n">
        <x:v>2</x:v>
      </x:c>
      <x:c r="D42" s="2" t="str">
        <x:v>Feb</x:v>
      </x:c>
      <x:c r="E42" s="2" t="str">
        <x:v>2026-02</x:v>
      </x:c>
      <x:c r="F42" s="2" t="n">
        <x:v>202602</x:v>
      </x:c>
    </x:row>
    <x:row r="43" ht="23" customHeight="1">
      <x:c r="A43" s="10" t="d">
        <x:v>2026-02-08T00:00:00.000Z</x:v>
      </x:c>
      <x:c r="B43" s="2" t="n">
        <x:v>2026</x:v>
      </x:c>
      <x:c r="C43" s="2" t="n">
        <x:v>2</x:v>
      </x:c>
      <x:c r="D43" s="2" t="str">
        <x:v>Feb</x:v>
      </x:c>
      <x:c r="E43" s="2" t="str">
        <x:v>2026-02</x:v>
      </x:c>
      <x:c r="F43" s="2" t="n">
        <x:v>202602</x:v>
      </x:c>
    </x:row>
    <x:row r="44" ht="23" customHeight="1">
      <x:c r="A44" s="10" t="d">
        <x:v>2026-02-09T00:00:00.000Z</x:v>
      </x:c>
      <x:c r="B44" s="2" t="n">
        <x:v>2026</x:v>
      </x:c>
      <x:c r="C44" s="2" t="n">
        <x:v>2</x:v>
      </x:c>
      <x:c r="D44" s="2" t="str">
        <x:v>Feb</x:v>
      </x:c>
      <x:c r="E44" s="2" t="str">
        <x:v>2026-02</x:v>
      </x:c>
      <x:c r="F44" s="2" t="n">
        <x:v>202602</x:v>
      </x:c>
    </x:row>
    <x:row r="45" ht="23" customHeight="1">
      <x:c r="A45" s="10" t="d">
        <x:v>2026-02-10T00:00:00.000Z</x:v>
      </x:c>
      <x:c r="B45" s="2" t="n">
        <x:v>2026</x:v>
      </x:c>
      <x:c r="C45" s="2" t="n">
        <x:v>2</x:v>
      </x:c>
      <x:c r="D45" s="2" t="str">
        <x:v>Feb</x:v>
      </x:c>
      <x:c r="E45" s="2" t="str">
        <x:v>2026-02</x:v>
      </x:c>
      <x:c r="F45" s="2" t="n">
        <x:v>202602</x:v>
      </x:c>
    </x:row>
    <x:row r="46" ht="23" customHeight="1">
      <x:c r="A46" s="10" t="d">
        <x:v>2026-02-11T00:00:00.000Z</x:v>
      </x:c>
      <x:c r="B46" s="2" t="n">
        <x:v>2026</x:v>
      </x:c>
      <x:c r="C46" s="2" t="n">
        <x:v>2</x:v>
      </x:c>
      <x:c r="D46" s="2" t="str">
        <x:v>Feb</x:v>
      </x:c>
      <x:c r="E46" s="2" t="str">
        <x:v>2026-02</x:v>
      </x:c>
      <x:c r="F46" s="2" t="n">
        <x:v>202602</x:v>
      </x:c>
    </x:row>
    <x:row r="47" ht="23" customHeight="1">
      <x:c r="A47" s="10" t="d">
        <x:v>2026-02-12T00:00:00.000Z</x:v>
      </x:c>
      <x:c r="B47" s="2" t="n">
        <x:v>2026</x:v>
      </x:c>
      <x:c r="C47" s="2" t="n">
        <x:v>2</x:v>
      </x:c>
      <x:c r="D47" s="2" t="str">
        <x:v>Feb</x:v>
      </x:c>
      <x:c r="E47" s="2" t="str">
        <x:v>2026-02</x:v>
      </x:c>
      <x:c r="F47" s="2" t="n">
        <x:v>202602</x:v>
      </x:c>
    </x:row>
    <x:row r="48" ht="23" customHeight="1">
      <x:c r="A48" s="10" t="d">
        <x:v>2026-02-13T00:00:00.000Z</x:v>
      </x:c>
      <x:c r="B48" s="2" t="n">
        <x:v>2026</x:v>
      </x:c>
      <x:c r="C48" s="2" t="n">
        <x:v>2</x:v>
      </x:c>
      <x:c r="D48" s="2" t="str">
        <x:v>Feb</x:v>
      </x:c>
      <x:c r="E48" s="2" t="str">
        <x:v>2026-02</x:v>
      </x:c>
      <x:c r="F48" s="2" t="n">
        <x:v>202602</x:v>
      </x:c>
    </x:row>
    <x:row r="49" ht="23" customHeight="1">
      <x:c r="A49" s="10" t="d">
        <x:v>2026-02-14T00:00:00.000Z</x:v>
      </x:c>
      <x:c r="B49" s="2" t="n">
        <x:v>2026</x:v>
      </x:c>
      <x:c r="C49" s="2" t="n">
        <x:v>2</x:v>
      </x:c>
      <x:c r="D49" s="2" t="str">
        <x:v>Feb</x:v>
      </x:c>
      <x:c r="E49" s="2" t="str">
        <x:v>2026-02</x:v>
      </x:c>
      <x:c r="F49" s="2" t="n">
        <x:v>202602</x:v>
      </x:c>
    </x:row>
    <x:row r="50" ht="23" customHeight="1">
      <x:c r="A50" s="10" t="d">
        <x:v>2026-02-15T00:00:00.000Z</x:v>
      </x:c>
      <x:c r="B50" s="2" t="n">
        <x:v>2026</x:v>
      </x:c>
      <x:c r="C50" s="2" t="n">
        <x:v>2</x:v>
      </x:c>
      <x:c r="D50" s="2" t="str">
        <x:v>Feb</x:v>
      </x:c>
      <x:c r="E50" s="2" t="str">
        <x:v>2026-02</x:v>
      </x:c>
      <x:c r="F50" s="2" t="n">
        <x:v>202602</x:v>
      </x:c>
    </x:row>
    <x:row r="51" ht="23" customHeight="1">
      <x:c r="A51" s="10" t="d">
        <x:v>2026-02-16T00:00:00.000Z</x:v>
      </x:c>
      <x:c r="B51" s="2" t="n">
        <x:v>2026</x:v>
      </x:c>
      <x:c r="C51" s="2" t="n">
        <x:v>2</x:v>
      </x:c>
      <x:c r="D51" s="2" t="str">
        <x:v>Feb</x:v>
      </x:c>
      <x:c r="E51" s="2" t="str">
        <x:v>2026-02</x:v>
      </x:c>
      <x:c r="F51" s="2" t="n">
        <x:v>202602</x:v>
      </x:c>
    </x:row>
    <x:row r="52" ht="23" customHeight="1">
      <x:c r="A52" s="10" t="d">
        <x:v>2026-02-17T00:00:00.000Z</x:v>
      </x:c>
      <x:c r="B52" s="2" t="n">
        <x:v>2026</x:v>
      </x:c>
      <x:c r="C52" s="2" t="n">
        <x:v>2</x:v>
      </x:c>
      <x:c r="D52" s="2" t="str">
        <x:v>Feb</x:v>
      </x:c>
      <x:c r="E52" s="2" t="str">
        <x:v>2026-02</x:v>
      </x:c>
      <x:c r="F52" s="2" t="n">
        <x:v>202602</x:v>
      </x:c>
    </x:row>
    <x:row r="53" ht="23" customHeight="1">
      <x:c r="A53" s="10" t="d">
        <x:v>2026-02-18T00:00:00.000Z</x:v>
      </x:c>
      <x:c r="B53" s="2" t="n">
        <x:v>2026</x:v>
      </x:c>
      <x:c r="C53" s="2" t="n">
        <x:v>2</x:v>
      </x:c>
      <x:c r="D53" s="2" t="str">
        <x:v>Feb</x:v>
      </x:c>
      <x:c r="E53" s="2" t="str">
        <x:v>2026-02</x:v>
      </x:c>
      <x:c r="F53" s="2" t="n">
        <x:v>202602</x:v>
      </x:c>
    </x:row>
    <x:row r="54" ht="23" customHeight="1">
      <x:c r="A54" s="10" t="d">
        <x:v>2026-02-19T00:00:00.000Z</x:v>
      </x:c>
      <x:c r="B54" s="2" t="n">
        <x:v>2026</x:v>
      </x:c>
      <x:c r="C54" s="2" t="n">
        <x:v>2</x:v>
      </x:c>
      <x:c r="D54" s="2" t="str">
        <x:v>Feb</x:v>
      </x:c>
      <x:c r="E54" s="2" t="str">
        <x:v>2026-02</x:v>
      </x:c>
      <x:c r="F54" s="2" t="n">
        <x:v>202602</x:v>
      </x:c>
    </x:row>
    <x:row r="55" ht="23" customHeight="1">
      <x:c r="A55" s="10" t="d">
        <x:v>2026-02-20T00:00:00.000Z</x:v>
      </x:c>
      <x:c r="B55" s="2" t="n">
        <x:v>2026</x:v>
      </x:c>
      <x:c r="C55" s="2" t="n">
        <x:v>2</x:v>
      </x:c>
      <x:c r="D55" s="2" t="str">
        <x:v>Feb</x:v>
      </x:c>
      <x:c r="E55" s="2" t="str">
        <x:v>2026-02</x:v>
      </x:c>
      <x:c r="F55" s="2" t="n">
        <x:v>202602</x:v>
      </x:c>
    </x:row>
    <x:row r="56" ht="23" customHeight="1">
      <x:c r="A56" s="10" t="d">
        <x:v>2026-02-21T00:00:00.000Z</x:v>
      </x:c>
      <x:c r="B56" s="2" t="n">
        <x:v>2026</x:v>
      </x:c>
      <x:c r="C56" s="2" t="n">
        <x:v>2</x:v>
      </x:c>
      <x:c r="D56" s="2" t="str">
        <x:v>Feb</x:v>
      </x:c>
      <x:c r="E56" s="2" t="str">
        <x:v>2026-02</x:v>
      </x:c>
      <x:c r="F56" s="2" t="n">
        <x:v>202602</x:v>
      </x:c>
    </x:row>
    <x:row r="57" ht="23" customHeight="1">
      <x:c r="A57" s="10" t="d">
        <x:v>2026-02-22T00:00:00.000Z</x:v>
      </x:c>
      <x:c r="B57" s="2" t="n">
        <x:v>2026</x:v>
      </x:c>
      <x:c r="C57" s="2" t="n">
        <x:v>2</x:v>
      </x:c>
      <x:c r="D57" s="2" t="str">
        <x:v>Feb</x:v>
      </x:c>
      <x:c r="E57" s="2" t="str">
        <x:v>2026-02</x:v>
      </x:c>
      <x:c r="F57" s="2" t="n">
        <x:v>202602</x:v>
      </x:c>
    </x:row>
    <x:row r="58" ht="23" customHeight="1">
      <x:c r="A58" s="10" t="d">
        <x:v>2026-02-23T00:00:00.000Z</x:v>
      </x:c>
      <x:c r="B58" s="2" t="n">
        <x:v>2026</x:v>
      </x:c>
      <x:c r="C58" s="2" t="n">
        <x:v>2</x:v>
      </x:c>
      <x:c r="D58" s="2" t="str">
        <x:v>Feb</x:v>
      </x:c>
      <x:c r="E58" s="2" t="str">
        <x:v>2026-02</x:v>
      </x:c>
      <x:c r="F58" s="2" t="n">
        <x:v>202602</x:v>
      </x:c>
    </x:row>
    <x:row r="59" ht="23" customHeight="1">
      <x:c r="A59" s="10" t="d">
        <x:v>2026-02-24T00:00:00.000Z</x:v>
      </x:c>
      <x:c r="B59" s="2" t="n">
        <x:v>2026</x:v>
      </x:c>
      <x:c r="C59" s="2" t="n">
        <x:v>2</x:v>
      </x:c>
      <x:c r="D59" s="2" t="str">
        <x:v>Feb</x:v>
      </x:c>
      <x:c r="E59" s="2" t="str">
        <x:v>2026-02</x:v>
      </x:c>
      <x:c r="F59" s="2" t="n">
        <x:v>202602</x:v>
      </x:c>
    </x:row>
    <x:row r="60" ht="23" customHeight="1">
      <x:c r="A60" s="10" t="d">
        <x:v>2026-02-25T00:00:00.000Z</x:v>
      </x:c>
      <x:c r="B60" s="2" t="n">
        <x:v>2026</x:v>
      </x:c>
      <x:c r="C60" s="2" t="n">
        <x:v>2</x:v>
      </x:c>
      <x:c r="D60" s="2" t="str">
        <x:v>Feb</x:v>
      </x:c>
      <x:c r="E60" s="2" t="str">
        <x:v>2026-02</x:v>
      </x:c>
      <x:c r="F60" s="2" t="n">
        <x:v>202602</x:v>
      </x:c>
    </x:row>
    <x:row r="61" ht="23" customHeight="1">
      <x:c r="A61" s="10" t="d">
        <x:v>2026-02-26T00:00:00.000Z</x:v>
      </x:c>
      <x:c r="B61" s="2" t="n">
        <x:v>2026</x:v>
      </x:c>
      <x:c r="C61" s="2" t="n">
        <x:v>2</x:v>
      </x:c>
      <x:c r="D61" s="2" t="str">
        <x:v>Feb</x:v>
      </x:c>
      <x:c r="E61" s="2" t="str">
        <x:v>2026-02</x:v>
      </x:c>
      <x:c r="F61" s="2" t="n">
        <x:v>202602</x:v>
      </x:c>
    </x:row>
    <x:row r="62" ht="23" customHeight="1">
      <x:c r="A62" s="10" t="d">
        <x:v>2026-02-27T00:00:00.000Z</x:v>
      </x:c>
      <x:c r="B62" s="2" t="n">
        <x:v>2026</x:v>
      </x:c>
      <x:c r="C62" s="2" t="n">
        <x:v>2</x:v>
      </x:c>
      <x:c r="D62" s="2" t="str">
        <x:v>Feb</x:v>
      </x:c>
      <x:c r="E62" s="2" t="str">
        <x:v>2026-02</x:v>
      </x:c>
      <x:c r="F62" s="2" t="n">
        <x:v>202602</x:v>
      </x:c>
    </x:row>
    <x:row r="63" ht="23" customHeight="1">
      <x:c r="A63" s="10" t="d">
        <x:v>2026-02-28T00:00:00.000Z</x:v>
      </x:c>
      <x:c r="B63" s="2" t="n">
        <x:v>2026</x:v>
      </x:c>
      <x:c r="C63" s="2" t="n">
        <x:v>2</x:v>
      </x:c>
      <x:c r="D63" s="2" t="str">
        <x:v>Feb</x:v>
      </x:c>
      <x:c r="E63" s="2" t="str">
        <x:v>2026-02</x:v>
      </x:c>
      <x:c r="F63" s="2" t="n">
        <x:v>202602</x:v>
      </x:c>
    </x:row>
    <x:row r="64" ht="23" customHeight="1">
      <x:c r="A64" s="10" t="d">
        <x:v>2026-03-01T00:00:00.000Z</x:v>
      </x:c>
      <x:c r="B64" s="2" t="n">
        <x:v>2026</x:v>
      </x:c>
      <x:c r="C64" s="2" t="n">
        <x:v>3</x:v>
      </x:c>
      <x:c r="D64" s="2" t="str">
        <x:v>Mar</x:v>
      </x:c>
      <x:c r="E64" s="2" t="str">
        <x:v>2026-03</x:v>
      </x:c>
      <x:c r="F64" s="2" t="n">
        <x:v>202603</x:v>
      </x:c>
    </x:row>
    <x:row r="65" ht="23" customHeight="1">
      <x:c r="A65" s="10" t="d">
        <x:v>2026-03-02T00:00:00.000Z</x:v>
      </x:c>
      <x:c r="B65" s="2" t="n">
        <x:v>2026</x:v>
      </x:c>
      <x:c r="C65" s="2" t="n">
        <x:v>3</x:v>
      </x:c>
      <x:c r="D65" s="2" t="str">
        <x:v>Mar</x:v>
      </x:c>
      <x:c r="E65" s="2" t="str">
        <x:v>2026-03</x:v>
      </x:c>
      <x:c r="F65" s="2" t="n">
        <x:v>202603</x:v>
      </x:c>
    </x:row>
    <x:row r="66" ht="23" customHeight="1">
      <x:c r="A66" s="10" t="d">
        <x:v>2026-03-03T00:00:00.000Z</x:v>
      </x:c>
      <x:c r="B66" s="2" t="n">
        <x:v>2026</x:v>
      </x:c>
      <x:c r="C66" s="2" t="n">
        <x:v>3</x:v>
      </x:c>
      <x:c r="D66" s="2" t="str">
        <x:v>Mar</x:v>
      </x:c>
      <x:c r="E66" s="2" t="str">
        <x:v>2026-03</x:v>
      </x:c>
      <x:c r="F66" s="2" t="n">
        <x:v>202603</x:v>
      </x:c>
    </x:row>
    <x:row r="67" ht="23" customHeight="1">
      <x:c r="A67" s="10" t="d">
        <x:v>2026-03-04T00:00:00.000Z</x:v>
      </x:c>
      <x:c r="B67" s="2" t="n">
        <x:v>2026</x:v>
      </x:c>
      <x:c r="C67" s="2" t="n">
        <x:v>3</x:v>
      </x:c>
      <x:c r="D67" s="2" t="str">
        <x:v>Mar</x:v>
      </x:c>
      <x:c r="E67" s="2" t="str">
        <x:v>2026-03</x:v>
      </x:c>
      <x:c r="F67" s="2" t="n">
        <x:v>202603</x:v>
      </x:c>
    </x:row>
    <x:row r="68" ht="23" customHeight="1">
      <x:c r="A68" s="10" t="d">
        <x:v>2026-03-05T00:00:00.000Z</x:v>
      </x:c>
      <x:c r="B68" s="2" t="n">
        <x:v>2026</x:v>
      </x:c>
      <x:c r="C68" s="2" t="n">
        <x:v>3</x:v>
      </x:c>
      <x:c r="D68" s="2" t="str">
        <x:v>Mar</x:v>
      </x:c>
      <x:c r="E68" s="2" t="str">
        <x:v>2026-03</x:v>
      </x:c>
      <x:c r="F68" s="2" t="n">
        <x:v>202603</x:v>
      </x:c>
    </x:row>
    <x:row r="69" ht="23" customHeight="1">
      <x:c r="A69" s="10" t="d">
        <x:v>2026-03-06T00:00:00.000Z</x:v>
      </x:c>
      <x:c r="B69" s="2" t="n">
        <x:v>2026</x:v>
      </x:c>
      <x:c r="C69" s="2" t="n">
        <x:v>3</x:v>
      </x:c>
      <x:c r="D69" s="2" t="str">
        <x:v>Mar</x:v>
      </x:c>
      <x:c r="E69" s="2" t="str">
        <x:v>2026-03</x:v>
      </x:c>
      <x:c r="F69" s="2" t="n">
        <x:v>202603</x:v>
      </x:c>
    </x:row>
    <x:row r="70" ht="23" customHeight="1">
      <x:c r="A70" s="10" t="d">
        <x:v>2026-03-07T00:00:00.000Z</x:v>
      </x:c>
      <x:c r="B70" s="2" t="n">
        <x:v>2026</x:v>
      </x:c>
      <x:c r="C70" s="2" t="n">
        <x:v>3</x:v>
      </x:c>
      <x:c r="D70" s="2" t="str">
        <x:v>Mar</x:v>
      </x:c>
      <x:c r="E70" s="2" t="str">
        <x:v>2026-03</x:v>
      </x:c>
      <x:c r="F70" s="2" t="n">
        <x:v>202603</x:v>
      </x:c>
    </x:row>
    <x:row r="71" ht="23" customHeight="1">
      <x:c r="A71" s="10" t="d">
        <x:v>2026-03-08T00:00:00.000Z</x:v>
      </x:c>
      <x:c r="B71" s="2" t="n">
        <x:v>2026</x:v>
      </x:c>
      <x:c r="C71" s="2" t="n">
        <x:v>3</x:v>
      </x:c>
      <x:c r="D71" s="2" t="str">
        <x:v>Mar</x:v>
      </x:c>
      <x:c r="E71" s="2" t="str">
        <x:v>2026-03</x:v>
      </x:c>
      <x:c r="F71" s="2" t="n">
        <x:v>202603</x:v>
      </x:c>
    </x:row>
    <x:row r="72" ht="23" customHeight="1">
      <x:c r="A72" s="10" t="d">
        <x:v>2026-03-09T00:00:00.000Z</x:v>
      </x:c>
      <x:c r="B72" s="2" t="n">
        <x:v>2026</x:v>
      </x:c>
      <x:c r="C72" s="2" t="n">
        <x:v>3</x:v>
      </x:c>
      <x:c r="D72" s="2" t="str">
        <x:v>Mar</x:v>
      </x:c>
      <x:c r="E72" s="2" t="str">
        <x:v>2026-03</x:v>
      </x:c>
      <x:c r="F72" s="2" t="n">
        <x:v>202603</x:v>
      </x:c>
    </x:row>
    <x:row r="73" ht="23" customHeight="1">
      <x:c r="A73" s="10" t="d">
        <x:v>2026-03-10T00:00:00.000Z</x:v>
      </x:c>
      <x:c r="B73" s="2" t="n">
        <x:v>2026</x:v>
      </x:c>
      <x:c r="C73" s="2" t="n">
        <x:v>3</x:v>
      </x:c>
      <x:c r="D73" s="2" t="str">
        <x:v>Mar</x:v>
      </x:c>
      <x:c r="E73" s="2" t="str">
        <x:v>2026-03</x:v>
      </x:c>
      <x:c r="F73" s="2" t="n">
        <x:v>202603</x:v>
      </x:c>
    </x:row>
    <x:row r="74" ht="23" customHeight="1">
      <x:c r="A74" s="10" t="d">
        <x:v>2026-03-11T00:00:00.000Z</x:v>
      </x:c>
      <x:c r="B74" s="2" t="n">
        <x:v>2026</x:v>
      </x:c>
      <x:c r="C74" s="2" t="n">
        <x:v>3</x:v>
      </x:c>
      <x:c r="D74" s="2" t="str">
        <x:v>Mar</x:v>
      </x:c>
      <x:c r="E74" s="2" t="str">
        <x:v>2026-03</x:v>
      </x:c>
      <x:c r="F74" s="2" t="n">
        <x:v>202603</x:v>
      </x:c>
    </x:row>
    <x:row r="75" ht="23" customHeight="1">
      <x:c r="A75" s="10" t="d">
        <x:v>2026-03-12T00:00:00.000Z</x:v>
      </x:c>
      <x:c r="B75" s="2" t="n">
        <x:v>2026</x:v>
      </x:c>
      <x:c r="C75" s="2" t="n">
        <x:v>3</x:v>
      </x:c>
      <x:c r="D75" s="2" t="str">
        <x:v>Mar</x:v>
      </x:c>
      <x:c r="E75" s="2" t="str">
        <x:v>2026-03</x:v>
      </x:c>
      <x:c r="F75" s="2" t="n">
        <x:v>202603</x:v>
      </x:c>
    </x:row>
    <x:row r="76" ht="23" customHeight="1">
      <x:c r="A76" s="10" t="d">
        <x:v>2026-03-13T00:00:00.000Z</x:v>
      </x:c>
      <x:c r="B76" s="2" t="n">
        <x:v>2026</x:v>
      </x:c>
      <x:c r="C76" s="2" t="n">
        <x:v>3</x:v>
      </x:c>
      <x:c r="D76" s="2" t="str">
        <x:v>Mar</x:v>
      </x:c>
      <x:c r="E76" s="2" t="str">
        <x:v>2026-03</x:v>
      </x:c>
      <x:c r="F76" s="2" t="n">
        <x:v>202603</x:v>
      </x:c>
    </x:row>
    <x:row r="77" ht="23" customHeight="1">
      <x:c r="A77" s="10" t="d">
        <x:v>2026-03-14T00:00:00.000Z</x:v>
      </x:c>
      <x:c r="B77" s="2" t="n">
        <x:v>2026</x:v>
      </x:c>
      <x:c r="C77" s="2" t="n">
        <x:v>3</x:v>
      </x:c>
      <x:c r="D77" s="2" t="str">
        <x:v>Mar</x:v>
      </x:c>
      <x:c r="E77" s="2" t="str">
        <x:v>2026-03</x:v>
      </x:c>
      <x:c r="F77" s="2" t="n">
        <x:v>202603</x:v>
      </x:c>
    </x:row>
    <x:row r="78" ht="23" customHeight="1">
      <x:c r="A78" s="10" t="d">
        <x:v>2026-03-15T00:00:00.000Z</x:v>
      </x:c>
      <x:c r="B78" s="2" t="n">
        <x:v>2026</x:v>
      </x:c>
      <x:c r="C78" s="2" t="n">
        <x:v>3</x:v>
      </x:c>
      <x:c r="D78" s="2" t="str">
        <x:v>Mar</x:v>
      </x:c>
      <x:c r="E78" s="2" t="str">
        <x:v>2026-03</x:v>
      </x:c>
      <x:c r="F78" s="2" t="n">
        <x:v>202603</x:v>
      </x:c>
    </x:row>
    <x:row r="79" ht="23" customHeight="1">
      <x:c r="A79" s="10" t="d">
        <x:v>2026-03-16T00:00:00.000Z</x:v>
      </x:c>
      <x:c r="B79" s="2" t="n">
        <x:v>2026</x:v>
      </x:c>
      <x:c r="C79" s="2" t="n">
        <x:v>3</x:v>
      </x:c>
      <x:c r="D79" s="2" t="str">
        <x:v>Mar</x:v>
      </x:c>
      <x:c r="E79" s="2" t="str">
        <x:v>2026-03</x:v>
      </x:c>
      <x:c r="F79" s="2" t="n">
        <x:v>202603</x:v>
      </x:c>
    </x:row>
    <x:row r="80" ht="23" customHeight="1">
      <x:c r="A80" s="10" t="d">
        <x:v>2026-03-17T00:00:00.000Z</x:v>
      </x:c>
      <x:c r="B80" s="2" t="n">
        <x:v>2026</x:v>
      </x:c>
      <x:c r="C80" s="2" t="n">
        <x:v>3</x:v>
      </x:c>
      <x:c r="D80" s="2" t="str">
        <x:v>Mar</x:v>
      </x:c>
      <x:c r="E80" s="2" t="str">
        <x:v>2026-03</x:v>
      </x:c>
      <x:c r="F80" s="2" t="n">
        <x:v>202603</x:v>
      </x:c>
    </x:row>
    <x:row r="81" ht="23" customHeight="1">
      <x:c r="A81" s="10" t="d">
        <x:v>2026-03-18T00:00:00.000Z</x:v>
      </x:c>
      <x:c r="B81" s="2" t="n">
        <x:v>2026</x:v>
      </x:c>
      <x:c r="C81" s="2" t="n">
        <x:v>3</x:v>
      </x:c>
      <x:c r="D81" s="2" t="str">
        <x:v>Mar</x:v>
      </x:c>
      <x:c r="E81" s="2" t="str">
        <x:v>2026-03</x:v>
      </x:c>
      <x:c r="F81" s="2" t="n">
        <x:v>202603</x:v>
      </x:c>
    </x:row>
    <x:row r="82" ht="23" customHeight="1">
      <x:c r="A82" s="10" t="d">
        <x:v>2026-03-19T00:00:00.000Z</x:v>
      </x:c>
      <x:c r="B82" s="2" t="n">
        <x:v>2026</x:v>
      </x:c>
      <x:c r="C82" s="2" t="n">
        <x:v>3</x:v>
      </x:c>
      <x:c r="D82" s="2" t="str">
        <x:v>Mar</x:v>
      </x:c>
      <x:c r="E82" s="2" t="str">
        <x:v>2026-03</x:v>
      </x:c>
      <x:c r="F82" s="2" t="n">
        <x:v>202603</x:v>
      </x:c>
    </x:row>
    <x:row r="83" ht="23" customHeight="1">
      <x:c r="A83" s="10" t="d">
        <x:v>2026-03-20T00:00:00.000Z</x:v>
      </x:c>
      <x:c r="B83" s="2" t="n">
        <x:v>2026</x:v>
      </x:c>
      <x:c r="C83" s="2" t="n">
        <x:v>3</x:v>
      </x:c>
      <x:c r="D83" s="2" t="str">
        <x:v>Mar</x:v>
      </x:c>
      <x:c r="E83" s="2" t="str">
        <x:v>2026-03</x:v>
      </x:c>
      <x:c r="F83" s="2" t="n">
        <x:v>202603</x:v>
      </x:c>
    </x:row>
    <x:row r="84" ht="23" customHeight="1">
      <x:c r="A84" s="10" t="d">
        <x:v>2026-03-21T00:00:00.000Z</x:v>
      </x:c>
      <x:c r="B84" s="2" t="n">
        <x:v>2026</x:v>
      </x:c>
      <x:c r="C84" s="2" t="n">
        <x:v>3</x:v>
      </x:c>
      <x:c r="D84" s="2" t="str">
        <x:v>Mar</x:v>
      </x:c>
      <x:c r="E84" s="2" t="str">
        <x:v>2026-03</x:v>
      </x:c>
      <x:c r="F84" s="2" t="n">
        <x:v>202603</x:v>
      </x:c>
    </x:row>
    <x:row r="85" ht="23" customHeight="1">
      <x:c r="A85" s="10" t="d">
        <x:v>2026-03-22T00:00:00.000Z</x:v>
      </x:c>
      <x:c r="B85" s="2" t="n">
        <x:v>2026</x:v>
      </x:c>
      <x:c r="C85" s="2" t="n">
        <x:v>3</x:v>
      </x:c>
      <x:c r="D85" s="2" t="str">
        <x:v>Mar</x:v>
      </x:c>
      <x:c r="E85" s="2" t="str">
        <x:v>2026-03</x:v>
      </x:c>
      <x:c r="F85" s="2" t="n">
        <x:v>202603</x:v>
      </x:c>
    </x:row>
    <x:row r="86" ht="23" customHeight="1">
      <x:c r="A86" s="10" t="d">
        <x:v>2026-03-23T00:00:00.000Z</x:v>
      </x:c>
      <x:c r="B86" s="2" t="n">
        <x:v>2026</x:v>
      </x:c>
      <x:c r="C86" s="2" t="n">
        <x:v>3</x:v>
      </x:c>
      <x:c r="D86" s="2" t="str">
        <x:v>Mar</x:v>
      </x:c>
      <x:c r="E86" s="2" t="str">
        <x:v>2026-03</x:v>
      </x:c>
      <x:c r="F86" s="2" t="n">
        <x:v>202603</x:v>
      </x:c>
    </x:row>
    <x:row r="87" ht="23" customHeight="1">
      <x:c r="A87" s="10" t="d">
        <x:v>2026-03-24T00:00:00.000Z</x:v>
      </x:c>
      <x:c r="B87" s="2" t="n">
        <x:v>2026</x:v>
      </x:c>
      <x:c r="C87" s="2" t="n">
        <x:v>3</x:v>
      </x:c>
      <x:c r="D87" s="2" t="str">
        <x:v>Mar</x:v>
      </x:c>
      <x:c r="E87" s="2" t="str">
        <x:v>2026-03</x:v>
      </x:c>
      <x:c r="F87" s="2" t="n">
        <x:v>202603</x:v>
      </x:c>
    </x:row>
    <x:row r="88" ht="23" customHeight="1">
      <x:c r="A88" s="10" t="d">
        <x:v>2026-03-25T00:00:00.000Z</x:v>
      </x:c>
      <x:c r="B88" s="2" t="n">
        <x:v>2026</x:v>
      </x:c>
      <x:c r="C88" s="2" t="n">
        <x:v>3</x:v>
      </x:c>
      <x:c r="D88" s="2" t="str">
        <x:v>Mar</x:v>
      </x:c>
      <x:c r="E88" s="2" t="str">
        <x:v>2026-03</x:v>
      </x:c>
      <x:c r="F88" s="2" t="n">
        <x:v>202603</x:v>
      </x:c>
    </x:row>
    <x:row r="89" ht="23" customHeight="1">
      <x:c r="A89" s="10" t="d">
        <x:v>2026-03-26T00:00:00.000Z</x:v>
      </x:c>
      <x:c r="B89" s="2" t="n">
        <x:v>2026</x:v>
      </x:c>
      <x:c r="C89" s="2" t="n">
        <x:v>3</x:v>
      </x:c>
      <x:c r="D89" s="2" t="str">
        <x:v>Mar</x:v>
      </x:c>
      <x:c r="E89" s="2" t="str">
        <x:v>2026-03</x:v>
      </x:c>
      <x:c r="F89" s="2" t="n">
        <x:v>202603</x:v>
      </x:c>
    </x:row>
    <x:row r="90" ht="23" customHeight="1">
      <x:c r="A90" s="10" t="d">
        <x:v>2026-03-27T00:00:00.000Z</x:v>
      </x:c>
      <x:c r="B90" s="2" t="n">
        <x:v>2026</x:v>
      </x:c>
      <x:c r="C90" s="2" t="n">
        <x:v>3</x:v>
      </x:c>
      <x:c r="D90" s="2" t="str">
        <x:v>Mar</x:v>
      </x:c>
      <x:c r="E90" s="2" t="str">
        <x:v>2026-03</x:v>
      </x:c>
      <x:c r="F90" s="2" t="n">
        <x:v>202603</x:v>
      </x:c>
    </x:row>
    <x:row r="91" ht="23" customHeight="1">
      <x:c r="A91" s="10" t="d">
        <x:v>2026-03-28T00:00:00.000Z</x:v>
      </x:c>
      <x:c r="B91" s="2" t="n">
        <x:v>2026</x:v>
      </x:c>
      <x:c r="C91" s="2" t="n">
        <x:v>3</x:v>
      </x:c>
      <x:c r="D91" s="2" t="str">
        <x:v>Mar</x:v>
      </x:c>
      <x:c r="E91" s="2" t="str">
        <x:v>2026-03</x:v>
      </x:c>
      <x:c r="F91" s="2" t="n">
        <x:v>202603</x:v>
      </x:c>
    </x:row>
    <x:row r="92" ht="23" customHeight="1">
      <x:c r="A92" s="10" t="d">
        <x:v>2026-03-29T00:00:00.000Z</x:v>
      </x:c>
      <x:c r="B92" s="2" t="n">
        <x:v>2026</x:v>
      </x:c>
      <x:c r="C92" s="2" t="n">
        <x:v>3</x:v>
      </x:c>
      <x:c r="D92" s="2" t="str">
        <x:v>Mar</x:v>
      </x:c>
      <x:c r="E92" s="2" t="str">
        <x:v>2026-03</x:v>
      </x:c>
      <x:c r="F92" s="2" t="n">
        <x:v>202603</x:v>
      </x:c>
    </x:row>
    <x:row r="93" ht="23" customHeight="1">
      <x:c r="A93" s="10" t="d">
        <x:v>2026-03-30T00:00:00.000Z</x:v>
      </x:c>
      <x:c r="B93" s="2" t="n">
        <x:v>2026</x:v>
      </x:c>
      <x:c r="C93" s="2" t="n">
        <x:v>3</x:v>
      </x:c>
      <x:c r="D93" s="2" t="str">
        <x:v>Mar</x:v>
      </x:c>
      <x:c r="E93" s="2" t="str">
        <x:v>2026-03</x:v>
      </x:c>
      <x:c r="F93" s="2" t="n">
        <x:v>202603</x:v>
      </x:c>
    </x:row>
    <x:row r="94" ht="23" customHeight="1">
      <x:c r="A94" s="10" t="d">
        <x:v>2026-03-31T00:00:00.000Z</x:v>
      </x:c>
      <x:c r="B94" s="2" t="n">
        <x:v>2026</x:v>
      </x:c>
      <x:c r="C94" s="2" t="n">
        <x:v>3</x:v>
      </x:c>
      <x:c r="D94" s="2" t="str">
        <x:v>Mar</x:v>
      </x:c>
      <x:c r="E94" s="2" t="str">
        <x:v>2026-03</x:v>
      </x:c>
      <x:c r="F94" s="2" t="n">
        <x:v>202603</x:v>
      </x:c>
    </x:row>
    <x:row r="95" ht="23" customHeight="1">
      <x:c r="A95" s="10" t="d">
        <x:v>2026-04-01T00:00:00.000Z</x:v>
      </x:c>
      <x:c r="B95" s="2" t="n">
        <x:v>2026</x:v>
      </x:c>
      <x:c r="C95" s="2" t="n">
        <x:v>4</x:v>
      </x:c>
      <x:c r="D95" s="2" t="str">
        <x:v>Apr</x:v>
      </x:c>
      <x:c r="E95" s="2" t="str">
        <x:v>2026-04</x:v>
      </x:c>
      <x:c r="F95" s="2" t="n">
        <x:v>202604</x:v>
      </x:c>
    </x:row>
    <x:row r="96" ht="23" customHeight="1">
      <x:c r="A96" s="10" t="d">
        <x:v>2026-04-02T00:00:00.000Z</x:v>
      </x:c>
      <x:c r="B96" s="2" t="n">
        <x:v>2026</x:v>
      </x:c>
      <x:c r="C96" s="2" t="n">
        <x:v>4</x:v>
      </x:c>
      <x:c r="D96" s="2" t="str">
        <x:v>Apr</x:v>
      </x:c>
      <x:c r="E96" s="2" t="str">
        <x:v>2026-04</x:v>
      </x:c>
      <x:c r="F96" s="2" t="n">
        <x:v>202604</x:v>
      </x:c>
    </x:row>
    <x:row r="97" ht="23" customHeight="1">
      <x:c r="A97" s="10" t="d">
        <x:v>2026-04-03T00:00:00.000Z</x:v>
      </x:c>
      <x:c r="B97" s="2" t="n">
        <x:v>2026</x:v>
      </x:c>
      <x:c r="C97" s="2" t="n">
        <x:v>4</x:v>
      </x:c>
      <x:c r="D97" s="2" t="str">
        <x:v>Apr</x:v>
      </x:c>
      <x:c r="E97" s="2" t="str">
        <x:v>2026-04</x:v>
      </x:c>
      <x:c r="F97" s="2" t="n">
        <x:v>202604</x:v>
      </x:c>
    </x:row>
    <x:row r="98" ht="23" customHeight="1">
      <x:c r="A98" s="10" t="d">
        <x:v>2026-04-04T00:00:00.000Z</x:v>
      </x:c>
      <x:c r="B98" s="2" t="n">
        <x:v>2026</x:v>
      </x:c>
      <x:c r="C98" s="2" t="n">
        <x:v>4</x:v>
      </x:c>
      <x:c r="D98" s="2" t="str">
        <x:v>Apr</x:v>
      </x:c>
      <x:c r="E98" s="2" t="str">
        <x:v>2026-04</x:v>
      </x:c>
      <x:c r="F98" s="2" t="n">
        <x:v>202604</x:v>
      </x:c>
    </x:row>
    <x:row r="99" ht="23" customHeight="1">
      <x:c r="A99" s="10" t="d">
        <x:v>2026-04-05T00:00:00.000Z</x:v>
      </x:c>
      <x:c r="B99" s="2" t="n">
        <x:v>2026</x:v>
      </x:c>
      <x:c r="C99" s="2" t="n">
        <x:v>4</x:v>
      </x:c>
      <x:c r="D99" s="2" t="str">
        <x:v>Apr</x:v>
      </x:c>
      <x:c r="E99" s="2" t="str">
        <x:v>2026-04</x:v>
      </x:c>
      <x:c r="F99" s="2" t="n">
        <x:v>202604</x:v>
      </x:c>
    </x:row>
    <x:row r="100" ht="23" customHeight="1">
      <x:c r="A100" s="10" t="d">
        <x:v>2026-04-06T00:00:00.000Z</x:v>
      </x:c>
      <x:c r="B100" s="2" t="n">
        <x:v>2026</x:v>
      </x:c>
      <x:c r="C100" s="2" t="n">
        <x:v>4</x:v>
      </x:c>
      <x:c r="D100" s="2" t="str">
        <x:v>Apr</x:v>
      </x:c>
      <x:c r="E100" s="2" t="str">
        <x:v>2026-04</x:v>
      </x:c>
      <x:c r="F100" s="2" t="n">
        <x:v>202604</x:v>
      </x:c>
    </x:row>
    <x:row r="101" ht="23" customHeight="1">
      <x:c r="A101" s="10" t="d">
        <x:v>2026-04-07T00:00:00.000Z</x:v>
      </x:c>
      <x:c r="B101" s="2" t="n">
        <x:v>2026</x:v>
      </x:c>
      <x:c r="C101" s="2" t="n">
        <x:v>4</x:v>
      </x:c>
      <x:c r="D101" s="2" t="str">
        <x:v>Apr</x:v>
      </x:c>
      <x:c r="E101" s="2" t="str">
        <x:v>2026-04</x:v>
      </x:c>
      <x:c r="F101" s="2" t="n">
        <x:v>202604</x:v>
      </x:c>
    </x:row>
    <x:row r="102" ht="23" customHeight="1">
      <x:c r="A102" s="10" t="d">
        <x:v>2026-04-08T00:00:00.000Z</x:v>
      </x:c>
      <x:c r="B102" s="2" t="n">
        <x:v>2026</x:v>
      </x:c>
      <x:c r="C102" s="2" t="n">
        <x:v>4</x:v>
      </x:c>
      <x:c r="D102" s="2" t="str">
        <x:v>Apr</x:v>
      </x:c>
      <x:c r="E102" s="2" t="str">
        <x:v>2026-04</x:v>
      </x:c>
      <x:c r="F102" s="2" t="n">
        <x:v>202604</x:v>
      </x:c>
    </x:row>
    <x:row r="103" ht="23" customHeight="1">
      <x:c r="A103" s="10" t="d">
        <x:v>2026-04-09T00:00:00.000Z</x:v>
      </x:c>
      <x:c r="B103" s="2" t="n">
        <x:v>2026</x:v>
      </x:c>
      <x:c r="C103" s="2" t="n">
        <x:v>4</x:v>
      </x:c>
      <x:c r="D103" s="2" t="str">
        <x:v>Apr</x:v>
      </x:c>
      <x:c r="E103" s="2" t="str">
        <x:v>2026-04</x:v>
      </x:c>
      <x:c r="F103" s="2" t="n">
        <x:v>202604</x:v>
      </x:c>
    </x:row>
    <x:row r="104" ht="23" customHeight="1">
      <x:c r="A104" s="10" t="d">
        <x:v>2026-04-10T00:00:00.000Z</x:v>
      </x:c>
      <x:c r="B104" s="2" t="n">
        <x:v>2026</x:v>
      </x:c>
      <x:c r="C104" s="2" t="n">
        <x:v>4</x:v>
      </x:c>
      <x:c r="D104" s="2" t="str">
        <x:v>Apr</x:v>
      </x:c>
      <x:c r="E104" s="2" t="str">
        <x:v>2026-04</x:v>
      </x:c>
      <x:c r="F104" s="2" t="n">
        <x:v>202604</x:v>
      </x:c>
    </x:row>
    <x:row r="105" ht="23" customHeight="1">
      <x:c r="A105" s="10" t="d">
        <x:v>2026-04-11T00:00:00.000Z</x:v>
      </x:c>
      <x:c r="B105" s="2" t="n">
        <x:v>2026</x:v>
      </x:c>
      <x:c r="C105" s="2" t="n">
        <x:v>4</x:v>
      </x:c>
      <x:c r="D105" s="2" t="str">
        <x:v>Apr</x:v>
      </x:c>
      <x:c r="E105" s="2" t="str">
        <x:v>2026-04</x:v>
      </x:c>
      <x:c r="F105" s="2" t="n">
        <x:v>202604</x:v>
      </x:c>
    </x:row>
    <x:row r="106" ht="23" customHeight="1">
      <x:c r="A106" s="10" t="d">
        <x:v>2026-04-12T00:00:00.000Z</x:v>
      </x:c>
      <x:c r="B106" s="2" t="n">
        <x:v>2026</x:v>
      </x:c>
      <x:c r="C106" s="2" t="n">
        <x:v>4</x:v>
      </x:c>
      <x:c r="D106" s="2" t="str">
        <x:v>Apr</x:v>
      </x:c>
      <x:c r="E106" s="2" t="str">
        <x:v>2026-04</x:v>
      </x:c>
      <x:c r="F106" s="2" t="n">
        <x:v>202604</x:v>
      </x:c>
    </x:row>
    <x:row r="107" ht="23" customHeight="1">
      <x:c r="A107" s="10" t="d">
        <x:v>2026-04-13T00:00:00.000Z</x:v>
      </x:c>
      <x:c r="B107" s="2" t="n">
        <x:v>2026</x:v>
      </x:c>
      <x:c r="C107" s="2" t="n">
        <x:v>4</x:v>
      </x:c>
      <x:c r="D107" s="2" t="str">
        <x:v>Apr</x:v>
      </x:c>
      <x:c r="E107" s="2" t="str">
        <x:v>2026-04</x:v>
      </x:c>
      <x:c r="F107" s="2" t="n">
        <x:v>202604</x:v>
      </x:c>
    </x:row>
    <x:row r="108" ht="23" customHeight="1">
      <x:c r="A108" s="10" t="d">
        <x:v>2026-04-14T00:00:00.000Z</x:v>
      </x:c>
      <x:c r="B108" s="2" t="n">
        <x:v>2026</x:v>
      </x:c>
      <x:c r="C108" s="2" t="n">
        <x:v>4</x:v>
      </x:c>
      <x:c r="D108" s="2" t="str">
        <x:v>Apr</x:v>
      </x:c>
      <x:c r="E108" s="2" t="str">
        <x:v>2026-04</x:v>
      </x:c>
      <x:c r="F108" s="2" t="n">
        <x:v>202604</x:v>
      </x:c>
    </x:row>
    <x:row r="109" ht="23" customHeight="1">
      <x:c r="A109" s="10" t="d">
        <x:v>2026-04-15T00:00:00.000Z</x:v>
      </x:c>
      <x:c r="B109" s="2" t="n">
        <x:v>2026</x:v>
      </x:c>
      <x:c r="C109" s="2" t="n">
        <x:v>4</x:v>
      </x:c>
      <x:c r="D109" s="2" t="str">
        <x:v>Apr</x:v>
      </x:c>
      <x:c r="E109" s="2" t="str">
        <x:v>2026-04</x:v>
      </x:c>
      <x:c r="F109" s="2" t="n">
        <x:v>202604</x:v>
      </x:c>
    </x:row>
    <x:row r="110" ht="23" customHeight="1">
      <x:c r="A110" s="10" t="d">
        <x:v>2026-04-16T00:00:00.000Z</x:v>
      </x:c>
      <x:c r="B110" s="2" t="n">
        <x:v>2026</x:v>
      </x:c>
      <x:c r="C110" s="2" t="n">
        <x:v>4</x:v>
      </x:c>
      <x:c r="D110" s="2" t="str">
        <x:v>Apr</x:v>
      </x:c>
      <x:c r="E110" s="2" t="str">
        <x:v>2026-04</x:v>
      </x:c>
      <x:c r="F110" s="2" t="n">
        <x:v>202604</x:v>
      </x:c>
    </x:row>
    <x:row r="111" ht="23" customHeight="1">
      <x:c r="A111" s="10" t="d">
        <x:v>2026-04-17T00:00:00.000Z</x:v>
      </x:c>
      <x:c r="B111" s="2" t="n">
        <x:v>2026</x:v>
      </x:c>
      <x:c r="C111" s="2" t="n">
        <x:v>4</x:v>
      </x:c>
      <x:c r="D111" s="2" t="str">
        <x:v>Apr</x:v>
      </x:c>
      <x:c r="E111" s="2" t="str">
        <x:v>2026-04</x:v>
      </x:c>
      <x:c r="F111" s="2" t="n">
        <x:v>202604</x:v>
      </x:c>
    </x:row>
    <x:row r="112" ht="23" customHeight="1">
      <x:c r="A112" s="10" t="d">
        <x:v>2026-04-18T00:00:00.000Z</x:v>
      </x:c>
      <x:c r="B112" s="2" t="n">
        <x:v>2026</x:v>
      </x:c>
      <x:c r="C112" s="2" t="n">
        <x:v>4</x:v>
      </x:c>
      <x:c r="D112" s="2" t="str">
        <x:v>Apr</x:v>
      </x:c>
      <x:c r="E112" s="2" t="str">
        <x:v>2026-04</x:v>
      </x:c>
      <x:c r="F112" s="2" t="n">
        <x:v>202604</x:v>
      </x:c>
    </x:row>
    <x:row r="113" ht="23" customHeight="1">
      <x:c r="A113" s="10" t="d">
        <x:v>2026-04-19T00:00:00.000Z</x:v>
      </x:c>
      <x:c r="B113" s="2" t="n">
        <x:v>2026</x:v>
      </x:c>
      <x:c r="C113" s="2" t="n">
        <x:v>4</x:v>
      </x:c>
      <x:c r="D113" s="2" t="str">
        <x:v>Apr</x:v>
      </x:c>
      <x:c r="E113" s="2" t="str">
        <x:v>2026-04</x:v>
      </x:c>
      <x:c r="F113" s="2" t="n">
        <x:v>202604</x:v>
      </x:c>
    </x:row>
    <x:row r="114" ht="23" customHeight="1">
      <x:c r="A114" s="10" t="d">
        <x:v>2026-04-20T00:00:00.000Z</x:v>
      </x:c>
      <x:c r="B114" s="2" t="n">
        <x:v>2026</x:v>
      </x:c>
      <x:c r="C114" s="2" t="n">
        <x:v>4</x:v>
      </x:c>
      <x:c r="D114" s="2" t="str">
        <x:v>Apr</x:v>
      </x:c>
      <x:c r="E114" s="2" t="str">
        <x:v>2026-04</x:v>
      </x:c>
      <x:c r="F114" s="2" t="n">
        <x:v>202604</x:v>
      </x:c>
    </x:row>
    <x:row r="115" ht="23" customHeight="1">
      <x:c r="A115" s="10" t="d">
        <x:v>2026-04-21T00:00:00.000Z</x:v>
      </x:c>
      <x:c r="B115" s="2" t="n">
        <x:v>2026</x:v>
      </x:c>
      <x:c r="C115" s="2" t="n">
        <x:v>4</x:v>
      </x:c>
      <x:c r="D115" s="2" t="str">
        <x:v>Apr</x:v>
      </x:c>
      <x:c r="E115" s="2" t="str">
        <x:v>2026-04</x:v>
      </x:c>
      <x:c r="F115" s="2" t="n">
        <x:v>202604</x:v>
      </x:c>
    </x:row>
    <x:row r="116" ht="23" customHeight="1">
      <x:c r="A116" s="10" t="d">
        <x:v>2026-04-22T00:00:00.000Z</x:v>
      </x:c>
      <x:c r="B116" s="2" t="n">
        <x:v>2026</x:v>
      </x:c>
      <x:c r="C116" s="2" t="n">
        <x:v>4</x:v>
      </x:c>
      <x:c r="D116" s="2" t="str">
        <x:v>Apr</x:v>
      </x:c>
      <x:c r="E116" s="2" t="str">
        <x:v>2026-04</x:v>
      </x:c>
      <x:c r="F116" s="2" t="n">
        <x:v>202604</x:v>
      </x:c>
    </x:row>
    <x:row r="117" ht="23" customHeight="1">
      <x:c r="A117" s="10" t="d">
        <x:v>2026-04-23T00:00:00.000Z</x:v>
      </x:c>
      <x:c r="B117" s="2" t="n">
        <x:v>2026</x:v>
      </x:c>
      <x:c r="C117" s="2" t="n">
        <x:v>4</x:v>
      </x:c>
      <x:c r="D117" s="2" t="str">
        <x:v>Apr</x:v>
      </x:c>
      <x:c r="E117" s="2" t="str">
        <x:v>2026-04</x:v>
      </x:c>
      <x:c r="F117" s="2" t="n">
        <x:v>202604</x:v>
      </x:c>
    </x:row>
    <x:row r="118" ht="23" customHeight="1">
      <x:c r="A118" s="10" t="d">
        <x:v>2026-04-24T00:00:00.000Z</x:v>
      </x:c>
      <x:c r="B118" s="2" t="n">
        <x:v>2026</x:v>
      </x:c>
      <x:c r="C118" s="2" t="n">
        <x:v>4</x:v>
      </x:c>
      <x:c r="D118" s="2" t="str">
        <x:v>Apr</x:v>
      </x:c>
      <x:c r="E118" s="2" t="str">
        <x:v>2026-04</x:v>
      </x:c>
      <x:c r="F118" s="2" t="n">
        <x:v>202604</x:v>
      </x:c>
    </x:row>
    <x:row r="119" ht="23" customHeight="1">
      <x:c r="A119" s="10" t="d">
        <x:v>2026-04-25T00:00:00.000Z</x:v>
      </x:c>
      <x:c r="B119" s="2" t="n">
        <x:v>2026</x:v>
      </x:c>
      <x:c r="C119" s="2" t="n">
        <x:v>4</x:v>
      </x:c>
      <x:c r="D119" s="2" t="str">
        <x:v>Apr</x:v>
      </x:c>
      <x:c r="E119" s="2" t="str">
        <x:v>2026-04</x:v>
      </x:c>
      <x:c r="F119" s="2" t="n">
        <x:v>202604</x:v>
      </x:c>
    </x:row>
    <x:row r="120" ht="23" customHeight="1">
      <x:c r="A120" s="10" t="d">
        <x:v>2026-04-26T00:00:00.000Z</x:v>
      </x:c>
      <x:c r="B120" s="2" t="n">
        <x:v>2026</x:v>
      </x:c>
      <x:c r="C120" s="2" t="n">
        <x:v>4</x:v>
      </x:c>
      <x:c r="D120" s="2" t="str">
        <x:v>Apr</x:v>
      </x:c>
      <x:c r="E120" s="2" t="str">
        <x:v>2026-04</x:v>
      </x:c>
      <x:c r="F120" s="2" t="n">
        <x:v>202604</x:v>
      </x:c>
    </x:row>
    <x:row r="121" ht="23" customHeight="1">
      <x:c r="A121" s="10" t="d">
        <x:v>2026-04-27T00:00:00.000Z</x:v>
      </x:c>
      <x:c r="B121" s="2" t="n">
        <x:v>2026</x:v>
      </x:c>
      <x:c r="C121" s="2" t="n">
        <x:v>4</x:v>
      </x:c>
      <x:c r="D121" s="2" t="str">
        <x:v>Apr</x:v>
      </x:c>
      <x:c r="E121" s="2" t="str">
        <x:v>2026-04</x:v>
      </x:c>
      <x:c r="F121" s="2" t="n">
        <x:v>202604</x:v>
      </x:c>
    </x:row>
    <x:row r="122" ht="23" customHeight="1">
      <x:c r="A122" s="10" t="d">
        <x:v>2026-04-28T00:00:00.000Z</x:v>
      </x:c>
      <x:c r="B122" s="2" t="n">
        <x:v>2026</x:v>
      </x:c>
      <x:c r="C122" s="2" t="n">
        <x:v>4</x:v>
      </x:c>
      <x:c r="D122" s="2" t="str">
        <x:v>Apr</x:v>
      </x:c>
      <x:c r="E122" s="2" t="str">
        <x:v>2026-04</x:v>
      </x:c>
      <x:c r="F122" s="2" t="n">
        <x:v>202604</x:v>
      </x:c>
    </x:row>
    <x:row r="123" ht="23" customHeight="1">
      <x:c r="A123" s="10" t="d">
        <x:v>2026-04-29T00:00:00.000Z</x:v>
      </x:c>
      <x:c r="B123" s="2" t="n">
        <x:v>2026</x:v>
      </x:c>
      <x:c r="C123" s="2" t="n">
        <x:v>4</x:v>
      </x:c>
      <x:c r="D123" s="2" t="str">
        <x:v>Apr</x:v>
      </x:c>
      <x:c r="E123" s="2" t="str">
        <x:v>2026-04</x:v>
      </x:c>
      <x:c r="F123" s="2" t="n">
        <x:v>202604</x:v>
      </x:c>
    </x:row>
    <x:row r="124" ht="23" customHeight="1">
      <x:c r="A124" s="10" t="d">
        <x:v>2026-04-30T00:00:00.000Z</x:v>
      </x:c>
      <x:c r="B124" s="2" t="n">
        <x:v>2026</x:v>
      </x:c>
      <x:c r="C124" s="2" t="n">
        <x:v>4</x:v>
      </x:c>
      <x:c r="D124" s="2" t="str">
        <x:v>Apr</x:v>
      </x:c>
      <x:c r="E124" s="2" t="str">
        <x:v>2026-04</x:v>
      </x:c>
      <x:c r="F124" s="2" t="n">
        <x:v>202604</x:v>
      </x:c>
    </x:row>
    <x:row r="125" ht="23" customHeight="1">
      <x:c r="A125" s="10" t="d">
        <x:v>2026-05-01T00:00:00.000Z</x:v>
      </x:c>
      <x:c r="B125" s="2" t="n">
        <x:v>2026</x:v>
      </x:c>
      <x:c r="C125" s="2" t="n">
        <x:v>5</x:v>
      </x:c>
      <x:c r="D125" s="2" t="str">
        <x:v>May</x:v>
      </x:c>
      <x:c r="E125" s="2" t="str">
        <x:v>2026-05</x:v>
      </x:c>
      <x:c r="F125" s="2" t="n">
        <x:v>202605</x:v>
      </x:c>
    </x:row>
    <x:row r="126" ht="23" customHeight="1">
      <x:c r="A126" s="10" t="d">
        <x:v>2026-05-02T00:00:00.000Z</x:v>
      </x:c>
      <x:c r="B126" s="2" t="n">
        <x:v>2026</x:v>
      </x:c>
      <x:c r="C126" s="2" t="n">
        <x:v>5</x:v>
      </x:c>
      <x:c r="D126" s="2" t="str">
        <x:v>May</x:v>
      </x:c>
      <x:c r="E126" s="2" t="str">
        <x:v>2026-05</x:v>
      </x:c>
      <x:c r="F126" s="2" t="n">
        <x:v>202605</x:v>
      </x:c>
    </x:row>
    <x:row r="127" ht="23" customHeight="1">
      <x:c r="A127" s="10" t="d">
        <x:v>2026-05-03T00:00:00.000Z</x:v>
      </x:c>
      <x:c r="B127" s="2" t="n">
        <x:v>2026</x:v>
      </x:c>
      <x:c r="C127" s="2" t="n">
        <x:v>5</x:v>
      </x:c>
      <x:c r="D127" s="2" t="str">
        <x:v>May</x:v>
      </x:c>
      <x:c r="E127" s="2" t="str">
        <x:v>2026-05</x:v>
      </x:c>
      <x:c r="F127" s="2" t="n">
        <x:v>202605</x:v>
      </x:c>
    </x:row>
    <x:row r="128" ht="23" customHeight="1">
      <x:c r="A128" s="10" t="d">
        <x:v>2026-05-04T00:00:00.000Z</x:v>
      </x:c>
      <x:c r="B128" s="2" t="n">
        <x:v>2026</x:v>
      </x:c>
      <x:c r="C128" s="2" t="n">
        <x:v>5</x:v>
      </x:c>
      <x:c r="D128" s="2" t="str">
        <x:v>May</x:v>
      </x:c>
      <x:c r="E128" s="2" t="str">
        <x:v>2026-05</x:v>
      </x:c>
      <x:c r="F128" s="2" t="n">
        <x:v>202605</x:v>
      </x:c>
    </x:row>
    <x:row r="129" ht="23" customHeight="1">
      <x:c r="A129" s="10" t="d">
        <x:v>2026-05-05T00:00:00.000Z</x:v>
      </x:c>
      <x:c r="B129" s="2" t="n">
        <x:v>2026</x:v>
      </x:c>
      <x:c r="C129" s="2" t="n">
        <x:v>5</x:v>
      </x:c>
      <x:c r="D129" s="2" t="str">
        <x:v>May</x:v>
      </x:c>
      <x:c r="E129" s="2" t="str">
        <x:v>2026-05</x:v>
      </x:c>
      <x:c r="F129" s="2" t="n">
        <x:v>202605</x:v>
      </x:c>
    </x:row>
    <x:row r="130" ht="23" customHeight="1">
      <x:c r="A130" s="10" t="d">
        <x:v>2026-05-06T00:00:00.000Z</x:v>
      </x:c>
      <x:c r="B130" s="2" t="n">
        <x:v>2026</x:v>
      </x:c>
      <x:c r="C130" s="2" t="n">
        <x:v>5</x:v>
      </x:c>
      <x:c r="D130" s="2" t="str">
        <x:v>May</x:v>
      </x:c>
      <x:c r="E130" s="2" t="str">
        <x:v>2026-05</x:v>
      </x:c>
      <x:c r="F130" s="2" t="n">
        <x:v>202605</x:v>
      </x:c>
    </x:row>
    <x:row r="131" ht="23" customHeight="1">
      <x:c r="A131" s="10" t="d">
        <x:v>2026-05-07T00:00:00.000Z</x:v>
      </x:c>
      <x:c r="B131" s="2" t="n">
        <x:v>2026</x:v>
      </x:c>
      <x:c r="C131" s="2" t="n">
        <x:v>5</x:v>
      </x:c>
      <x:c r="D131" s="2" t="str">
        <x:v>May</x:v>
      </x:c>
      <x:c r="E131" s="2" t="str">
        <x:v>2026-05</x:v>
      </x:c>
      <x:c r="F131" s="2" t="n">
        <x:v>202605</x:v>
      </x:c>
    </x:row>
    <x:row r="132" ht="23" customHeight="1">
      <x:c r="A132" s="10" t="d">
        <x:v>2026-05-08T00:00:00.000Z</x:v>
      </x:c>
      <x:c r="B132" s="2" t="n">
        <x:v>2026</x:v>
      </x:c>
      <x:c r="C132" s="2" t="n">
        <x:v>5</x:v>
      </x:c>
      <x:c r="D132" s="2" t="str">
        <x:v>May</x:v>
      </x:c>
      <x:c r="E132" s="2" t="str">
        <x:v>2026-05</x:v>
      </x:c>
      <x:c r="F132" s="2" t="n">
        <x:v>202605</x:v>
      </x:c>
    </x:row>
    <x:row r="133" ht="23" customHeight="1">
      <x:c r="A133" s="10" t="d">
        <x:v>2026-05-09T00:00:00.000Z</x:v>
      </x:c>
      <x:c r="B133" s="2" t="n">
        <x:v>2026</x:v>
      </x:c>
      <x:c r="C133" s="2" t="n">
        <x:v>5</x:v>
      </x:c>
      <x:c r="D133" s="2" t="str">
        <x:v>May</x:v>
      </x:c>
      <x:c r="E133" s="2" t="str">
        <x:v>2026-05</x:v>
      </x:c>
      <x:c r="F133" s="2" t="n">
        <x:v>202605</x:v>
      </x:c>
    </x:row>
    <x:row r="134" ht="23" customHeight="1">
      <x:c r="A134" s="10" t="d">
        <x:v>2026-05-10T00:00:00.000Z</x:v>
      </x:c>
      <x:c r="B134" s="2" t="n">
        <x:v>2026</x:v>
      </x:c>
      <x:c r="C134" s="2" t="n">
        <x:v>5</x:v>
      </x:c>
      <x:c r="D134" s="2" t="str">
        <x:v>May</x:v>
      </x:c>
      <x:c r="E134" s="2" t="str">
        <x:v>2026-05</x:v>
      </x:c>
      <x:c r="F134" s="2" t="n">
        <x:v>202605</x:v>
      </x:c>
    </x:row>
    <x:row r="135" ht="23" customHeight="1">
      <x:c r="A135" s="10" t="d">
        <x:v>2026-05-11T00:00:00.000Z</x:v>
      </x:c>
      <x:c r="B135" s="2" t="n">
        <x:v>2026</x:v>
      </x:c>
      <x:c r="C135" s="2" t="n">
        <x:v>5</x:v>
      </x:c>
      <x:c r="D135" s="2" t="str">
        <x:v>May</x:v>
      </x:c>
      <x:c r="E135" s="2" t="str">
        <x:v>2026-05</x:v>
      </x:c>
      <x:c r="F135" s="2" t="n">
        <x:v>202605</x:v>
      </x:c>
    </x:row>
    <x:row r="136" ht="23" customHeight="1">
      <x:c r="A136" s="10" t="d">
        <x:v>2026-05-12T00:00:00.000Z</x:v>
      </x:c>
      <x:c r="B136" s="2" t="n">
        <x:v>2026</x:v>
      </x:c>
      <x:c r="C136" s="2" t="n">
        <x:v>5</x:v>
      </x:c>
      <x:c r="D136" s="2" t="str">
        <x:v>May</x:v>
      </x:c>
      <x:c r="E136" s="2" t="str">
        <x:v>2026-05</x:v>
      </x:c>
      <x:c r="F136" s="2" t="n">
        <x:v>202605</x:v>
      </x:c>
    </x:row>
    <x:row r="137" ht="23" customHeight="1">
      <x:c r="A137" s="10" t="d">
        <x:v>2026-05-13T00:00:00.000Z</x:v>
      </x:c>
      <x:c r="B137" s="2" t="n">
        <x:v>2026</x:v>
      </x:c>
      <x:c r="C137" s="2" t="n">
        <x:v>5</x:v>
      </x:c>
      <x:c r="D137" s="2" t="str">
        <x:v>May</x:v>
      </x:c>
      <x:c r="E137" s="2" t="str">
        <x:v>2026-05</x:v>
      </x:c>
      <x:c r="F137" s="2" t="n">
        <x:v>202605</x:v>
      </x:c>
    </x:row>
    <x:row r="138" ht="23" customHeight="1">
      <x:c r="A138" s="10" t="d">
        <x:v>2026-05-14T00:00:00.000Z</x:v>
      </x:c>
      <x:c r="B138" s="2" t="n">
        <x:v>2026</x:v>
      </x:c>
      <x:c r="C138" s="2" t="n">
        <x:v>5</x:v>
      </x:c>
      <x:c r="D138" s="2" t="str">
        <x:v>May</x:v>
      </x:c>
      <x:c r="E138" s="2" t="str">
        <x:v>2026-05</x:v>
      </x:c>
      <x:c r="F138" s="2" t="n">
        <x:v>202605</x:v>
      </x:c>
    </x:row>
    <x:row r="139" ht="23" customHeight="1">
      <x:c r="A139" s="10" t="d">
        <x:v>2026-05-15T00:00:00.000Z</x:v>
      </x:c>
      <x:c r="B139" s="2" t="n">
        <x:v>2026</x:v>
      </x:c>
      <x:c r="C139" s="2" t="n">
        <x:v>5</x:v>
      </x:c>
      <x:c r="D139" s="2" t="str">
        <x:v>May</x:v>
      </x:c>
      <x:c r="E139" s="2" t="str">
        <x:v>2026-05</x:v>
      </x:c>
      <x:c r="F139" s="2" t="n">
        <x:v>202605</x:v>
      </x:c>
    </x:row>
    <x:row r="140" ht="23" customHeight="1">
      <x:c r="A140" s="10" t="d">
        <x:v>2026-05-16T00:00:00.000Z</x:v>
      </x:c>
      <x:c r="B140" s="2" t="n">
        <x:v>2026</x:v>
      </x:c>
      <x:c r="C140" s="2" t="n">
        <x:v>5</x:v>
      </x:c>
      <x:c r="D140" s="2" t="str">
        <x:v>May</x:v>
      </x:c>
      <x:c r="E140" s="2" t="str">
        <x:v>2026-05</x:v>
      </x:c>
      <x:c r="F140" s="2" t="n">
        <x:v>202605</x:v>
      </x:c>
    </x:row>
    <x:row r="141" ht="23" customHeight="1">
      <x:c r="A141" s="10" t="d">
        <x:v>2026-05-17T00:00:00.000Z</x:v>
      </x:c>
      <x:c r="B141" s="2" t="n">
        <x:v>2026</x:v>
      </x:c>
      <x:c r="C141" s="2" t="n">
        <x:v>5</x:v>
      </x:c>
      <x:c r="D141" s="2" t="str">
        <x:v>May</x:v>
      </x:c>
      <x:c r="E141" s="2" t="str">
        <x:v>2026-05</x:v>
      </x:c>
      <x:c r="F141" s="2" t="n">
        <x:v>202605</x:v>
      </x:c>
    </x:row>
    <x:row r="142" ht="23" customHeight="1">
      <x:c r="A142" s="10" t="d">
        <x:v>2026-05-18T00:00:00.000Z</x:v>
      </x:c>
      <x:c r="B142" s="2" t="n">
        <x:v>2026</x:v>
      </x:c>
      <x:c r="C142" s="2" t="n">
        <x:v>5</x:v>
      </x:c>
      <x:c r="D142" s="2" t="str">
        <x:v>May</x:v>
      </x:c>
      <x:c r="E142" s="2" t="str">
        <x:v>2026-05</x:v>
      </x:c>
      <x:c r="F142" s="2" t="n">
        <x:v>202605</x:v>
      </x:c>
    </x:row>
    <x:row r="143" ht="23" customHeight="1">
      <x:c r="A143" s="10" t="d">
        <x:v>2026-05-19T00:00:00.000Z</x:v>
      </x:c>
      <x:c r="B143" s="2" t="n">
        <x:v>2026</x:v>
      </x:c>
      <x:c r="C143" s="2" t="n">
        <x:v>5</x:v>
      </x:c>
      <x:c r="D143" s="2" t="str">
        <x:v>May</x:v>
      </x:c>
      <x:c r="E143" s="2" t="str">
        <x:v>2026-05</x:v>
      </x:c>
      <x:c r="F143" s="2" t="n">
        <x:v>202605</x:v>
      </x:c>
    </x:row>
    <x:row r="144" ht="23" customHeight="1">
      <x:c r="A144" s="10" t="d">
        <x:v>2026-05-20T00:00:00.000Z</x:v>
      </x:c>
      <x:c r="B144" s="2" t="n">
        <x:v>2026</x:v>
      </x:c>
      <x:c r="C144" s="2" t="n">
        <x:v>5</x:v>
      </x:c>
      <x:c r="D144" s="2" t="str">
        <x:v>May</x:v>
      </x:c>
      <x:c r="E144" s="2" t="str">
        <x:v>2026-05</x:v>
      </x:c>
      <x:c r="F144" s="2" t="n">
        <x:v>202605</x:v>
      </x:c>
    </x:row>
    <x:row r="145" ht="23" customHeight="1">
      <x:c r="A145" s="10" t="d">
        <x:v>2026-05-21T00:00:00.000Z</x:v>
      </x:c>
      <x:c r="B145" s="2" t="n">
        <x:v>2026</x:v>
      </x:c>
      <x:c r="C145" s="2" t="n">
        <x:v>5</x:v>
      </x:c>
      <x:c r="D145" s="2" t="str">
        <x:v>May</x:v>
      </x:c>
      <x:c r="E145" s="2" t="str">
        <x:v>2026-05</x:v>
      </x:c>
      <x:c r="F145" s="2" t="n">
        <x:v>202605</x:v>
      </x:c>
    </x:row>
    <x:row r="146" ht="23" customHeight="1">
      <x:c r="A146" s="10" t="d">
        <x:v>2026-05-22T00:00:00.000Z</x:v>
      </x:c>
      <x:c r="B146" s="2" t="n">
        <x:v>2026</x:v>
      </x:c>
      <x:c r="C146" s="2" t="n">
        <x:v>5</x:v>
      </x:c>
      <x:c r="D146" s="2" t="str">
        <x:v>May</x:v>
      </x:c>
      <x:c r="E146" s="2" t="str">
        <x:v>2026-05</x:v>
      </x:c>
      <x:c r="F146" s="2" t="n">
        <x:v>202605</x:v>
      </x:c>
    </x:row>
    <x:row r="147" ht="23" customHeight="1">
      <x:c r="A147" s="10" t="d">
        <x:v>2026-05-23T00:00:00.000Z</x:v>
      </x:c>
      <x:c r="B147" s="2" t="n">
        <x:v>2026</x:v>
      </x:c>
      <x:c r="C147" s="2" t="n">
        <x:v>5</x:v>
      </x:c>
      <x:c r="D147" s="2" t="str">
        <x:v>May</x:v>
      </x:c>
      <x:c r="E147" s="2" t="str">
        <x:v>2026-05</x:v>
      </x:c>
      <x:c r="F147" s="2" t="n">
        <x:v>202605</x:v>
      </x:c>
    </x:row>
    <x:row r="148" ht="23" customHeight="1">
      <x:c r="A148" s="10" t="d">
        <x:v>2026-05-24T00:00:00.000Z</x:v>
      </x:c>
      <x:c r="B148" s="2" t="n">
        <x:v>2026</x:v>
      </x:c>
      <x:c r="C148" s="2" t="n">
        <x:v>5</x:v>
      </x:c>
      <x:c r="D148" s="2" t="str">
        <x:v>May</x:v>
      </x:c>
      <x:c r="E148" s="2" t="str">
        <x:v>2026-05</x:v>
      </x:c>
      <x:c r="F148" s="2" t="n">
        <x:v>202605</x:v>
      </x:c>
    </x:row>
    <x:row r="149" ht="23" customHeight="1">
      <x:c r="A149" s="10" t="d">
        <x:v>2026-05-25T00:00:00.000Z</x:v>
      </x:c>
      <x:c r="B149" s="2" t="n">
        <x:v>2026</x:v>
      </x:c>
      <x:c r="C149" s="2" t="n">
        <x:v>5</x:v>
      </x:c>
      <x:c r="D149" s="2" t="str">
        <x:v>May</x:v>
      </x:c>
      <x:c r="E149" s="2" t="str">
        <x:v>2026-05</x:v>
      </x:c>
      <x:c r="F149" s="2" t="n">
        <x:v>202605</x:v>
      </x:c>
    </x:row>
    <x:row r="150" ht="23" customHeight="1">
      <x:c r="A150" s="10" t="d">
        <x:v>2026-05-26T00:00:00.000Z</x:v>
      </x:c>
      <x:c r="B150" s="2" t="n">
        <x:v>2026</x:v>
      </x:c>
      <x:c r="C150" s="2" t="n">
        <x:v>5</x:v>
      </x:c>
      <x:c r="D150" s="2" t="str">
        <x:v>May</x:v>
      </x:c>
      <x:c r="E150" s="2" t="str">
        <x:v>2026-05</x:v>
      </x:c>
      <x:c r="F150" s="2" t="n">
        <x:v>202605</x:v>
      </x:c>
    </x:row>
    <x:row r="151" ht="23" customHeight="1">
      <x:c r="A151" s="10" t="d">
        <x:v>2026-05-27T00:00:00.000Z</x:v>
      </x:c>
      <x:c r="B151" s="2" t="n">
        <x:v>2026</x:v>
      </x:c>
      <x:c r="C151" s="2" t="n">
        <x:v>5</x:v>
      </x:c>
      <x:c r="D151" s="2" t="str">
        <x:v>May</x:v>
      </x:c>
      <x:c r="E151" s="2" t="str">
        <x:v>2026-05</x:v>
      </x:c>
      <x:c r="F151" s="2" t="n">
        <x:v>202605</x:v>
      </x:c>
    </x:row>
    <x:row r="152" ht="23" customHeight="1">
      <x:c r="A152" s="10" t="d">
        <x:v>2026-05-28T00:00:00.000Z</x:v>
      </x:c>
      <x:c r="B152" s="2" t="n">
        <x:v>2026</x:v>
      </x:c>
      <x:c r="C152" s="2" t="n">
        <x:v>5</x:v>
      </x:c>
      <x:c r="D152" s="2" t="str">
        <x:v>May</x:v>
      </x:c>
      <x:c r="E152" s="2" t="str">
        <x:v>2026-05</x:v>
      </x:c>
      <x:c r="F152" s="2" t="n">
        <x:v>202605</x:v>
      </x:c>
    </x:row>
    <x:row r="153" ht="23" customHeight="1">
      <x:c r="A153" s="10" t="d">
        <x:v>2026-05-29T00:00:00.000Z</x:v>
      </x:c>
      <x:c r="B153" s="2" t="n">
        <x:v>2026</x:v>
      </x:c>
      <x:c r="C153" s="2" t="n">
        <x:v>5</x:v>
      </x:c>
      <x:c r="D153" s="2" t="str">
        <x:v>May</x:v>
      </x:c>
      <x:c r="E153" s="2" t="str">
        <x:v>2026-05</x:v>
      </x:c>
      <x:c r="F153" s="2" t="n">
        <x:v>202605</x:v>
      </x:c>
    </x:row>
    <x:row r="154" ht="23" customHeight="1">
      <x:c r="A154" s="10" t="d">
        <x:v>2026-05-30T00:00:00.000Z</x:v>
      </x:c>
      <x:c r="B154" s="2" t="n">
        <x:v>2026</x:v>
      </x:c>
      <x:c r="C154" s="2" t="n">
        <x:v>5</x:v>
      </x:c>
      <x:c r="D154" s="2" t="str">
        <x:v>May</x:v>
      </x:c>
      <x:c r="E154" s="2" t="str">
        <x:v>2026-05</x:v>
      </x:c>
      <x:c r="F154" s="2" t="n">
        <x:v>202605</x:v>
      </x:c>
    </x:row>
    <x:row r="155" ht="23" customHeight="1">
      <x:c r="A155" s="10" t="d">
        <x:v>2026-05-31T00:00:00.000Z</x:v>
      </x:c>
      <x:c r="B155" s="2" t="n">
        <x:v>2026</x:v>
      </x:c>
      <x:c r="C155" s="2" t="n">
        <x:v>5</x:v>
      </x:c>
      <x:c r="D155" s="2" t="str">
        <x:v>May</x:v>
      </x:c>
      <x:c r="E155" s="2" t="str">
        <x:v>2026-05</x:v>
      </x:c>
      <x:c r="F155" s="2" t="n">
        <x:v>202605</x:v>
      </x:c>
    </x:row>
    <x:row r="156" ht="23" customHeight="1">
      <x:c r="A156" s="10" t="d">
        <x:v>2026-06-01T00:00:00.000Z</x:v>
      </x:c>
      <x:c r="B156" s="2" t="n">
        <x:v>2026</x:v>
      </x:c>
      <x:c r="C156" s="2" t="n">
        <x:v>6</x:v>
      </x:c>
      <x:c r="D156" s="2" t="str">
        <x:v>Jun</x:v>
      </x:c>
      <x:c r="E156" s="2" t="str">
        <x:v>2026-06</x:v>
      </x:c>
      <x:c r="F156" s="2" t="n">
        <x:v>202606</x:v>
      </x:c>
    </x:row>
    <x:row r="157" ht="23" customHeight="1">
      <x:c r="A157" s="10" t="d">
        <x:v>2026-06-02T00:00:00.000Z</x:v>
      </x:c>
      <x:c r="B157" s="2" t="n">
        <x:v>2026</x:v>
      </x:c>
      <x:c r="C157" s="2" t="n">
        <x:v>6</x:v>
      </x:c>
      <x:c r="D157" s="2" t="str">
        <x:v>Jun</x:v>
      </x:c>
      <x:c r="E157" s="2" t="str">
        <x:v>2026-06</x:v>
      </x:c>
      <x:c r="F157" s="2" t="n">
        <x:v>202606</x:v>
      </x:c>
    </x:row>
    <x:row r="158" ht="23" customHeight="1">
      <x:c r="A158" s="10" t="d">
        <x:v>2026-06-03T00:00:00.000Z</x:v>
      </x:c>
      <x:c r="B158" s="2" t="n">
        <x:v>2026</x:v>
      </x:c>
      <x:c r="C158" s="2" t="n">
        <x:v>6</x:v>
      </x:c>
      <x:c r="D158" s="2" t="str">
        <x:v>Jun</x:v>
      </x:c>
      <x:c r="E158" s="2" t="str">
        <x:v>2026-06</x:v>
      </x:c>
      <x:c r="F158" s="2" t="n">
        <x:v>202606</x:v>
      </x:c>
    </x:row>
    <x:row r="159" ht="23" customHeight="1">
      <x:c r="A159" s="10" t="d">
        <x:v>2026-06-04T00:00:00.000Z</x:v>
      </x:c>
      <x:c r="B159" s="2" t="n">
        <x:v>2026</x:v>
      </x:c>
      <x:c r="C159" s="2" t="n">
        <x:v>6</x:v>
      </x:c>
      <x:c r="D159" s="2" t="str">
        <x:v>Jun</x:v>
      </x:c>
      <x:c r="E159" s="2" t="str">
        <x:v>2026-06</x:v>
      </x:c>
      <x:c r="F159" s="2" t="n">
        <x:v>202606</x:v>
      </x:c>
    </x:row>
    <x:row r="160" ht="23" customHeight="1">
      <x:c r="A160" s="10" t="d">
        <x:v>2026-06-05T00:00:00.000Z</x:v>
      </x:c>
      <x:c r="B160" s="2" t="n">
        <x:v>2026</x:v>
      </x:c>
      <x:c r="C160" s="2" t="n">
        <x:v>6</x:v>
      </x:c>
      <x:c r="D160" s="2" t="str">
        <x:v>Jun</x:v>
      </x:c>
      <x:c r="E160" s="2" t="str">
        <x:v>2026-06</x:v>
      </x:c>
      <x:c r="F160" s="2" t="n">
        <x:v>202606</x:v>
      </x:c>
    </x:row>
    <x:row r="161" ht="23" customHeight="1">
      <x:c r="A161" s="10" t="d">
        <x:v>2026-06-06T00:00:00.000Z</x:v>
      </x:c>
      <x:c r="B161" s="2" t="n">
        <x:v>2026</x:v>
      </x:c>
      <x:c r="C161" s="2" t="n">
        <x:v>6</x:v>
      </x:c>
      <x:c r="D161" s="2" t="str">
        <x:v>Jun</x:v>
      </x:c>
      <x:c r="E161" s="2" t="str">
        <x:v>2026-06</x:v>
      </x:c>
      <x:c r="F161" s="2" t="n">
        <x:v>202606</x:v>
      </x:c>
    </x:row>
    <x:row r="162" ht="23" customHeight="1">
      <x:c r="A162" s="10" t="d">
        <x:v>2026-06-07T00:00:00.000Z</x:v>
      </x:c>
      <x:c r="B162" s="2" t="n">
        <x:v>2026</x:v>
      </x:c>
      <x:c r="C162" s="2" t="n">
        <x:v>6</x:v>
      </x:c>
      <x:c r="D162" s="2" t="str">
        <x:v>Jun</x:v>
      </x:c>
      <x:c r="E162" s="2" t="str">
        <x:v>2026-06</x:v>
      </x:c>
      <x:c r="F162" s="2" t="n">
        <x:v>202606</x:v>
      </x:c>
    </x:row>
    <x:row r="163" ht="23" customHeight="1">
      <x:c r="A163" s="10" t="d">
        <x:v>2026-06-08T00:00:00.000Z</x:v>
      </x:c>
      <x:c r="B163" s="2" t="n">
        <x:v>2026</x:v>
      </x:c>
      <x:c r="C163" s="2" t="n">
        <x:v>6</x:v>
      </x:c>
      <x:c r="D163" s="2" t="str">
        <x:v>Jun</x:v>
      </x:c>
      <x:c r="E163" s="2" t="str">
        <x:v>2026-06</x:v>
      </x:c>
      <x:c r="F163" s="2" t="n">
        <x:v>202606</x:v>
      </x:c>
    </x:row>
    <x:row r="164" ht="23" customHeight="1">
      <x:c r="A164" s="10" t="d">
        <x:v>2026-06-09T00:00:00.000Z</x:v>
      </x:c>
      <x:c r="B164" s="2" t="n">
        <x:v>2026</x:v>
      </x:c>
      <x:c r="C164" s="2" t="n">
        <x:v>6</x:v>
      </x:c>
      <x:c r="D164" s="2" t="str">
        <x:v>Jun</x:v>
      </x:c>
      <x:c r="E164" s="2" t="str">
        <x:v>2026-06</x:v>
      </x:c>
      <x:c r="F164" s="2" t="n">
        <x:v>202606</x:v>
      </x:c>
    </x:row>
    <x:row r="165" ht="23" customHeight="1">
      <x:c r="A165" s="10" t="d">
        <x:v>2026-06-10T00:00:00.000Z</x:v>
      </x:c>
      <x:c r="B165" s="2" t="n">
        <x:v>2026</x:v>
      </x:c>
      <x:c r="C165" s="2" t="n">
        <x:v>6</x:v>
      </x:c>
      <x:c r="D165" s="2" t="str">
        <x:v>Jun</x:v>
      </x:c>
      <x:c r="E165" s="2" t="str">
        <x:v>2026-06</x:v>
      </x:c>
      <x:c r="F165" s="2" t="n">
        <x:v>202606</x:v>
      </x:c>
    </x:row>
    <x:row r="166" ht="23" customHeight="1">
      <x:c r="A166" s="10" t="d">
        <x:v>2026-06-11T00:00:00.000Z</x:v>
      </x:c>
      <x:c r="B166" s="2" t="n">
        <x:v>2026</x:v>
      </x:c>
      <x:c r="C166" s="2" t="n">
        <x:v>6</x:v>
      </x:c>
      <x:c r="D166" s="2" t="str">
        <x:v>Jun</x:v>
      </x:c>
      <x:c r="E166" s="2" t="str">
        <x:v>2026-06</x:v>
      </x:c>
      <x:c r="F166" s="2" t="n">
        <x:v>202606</x:v>
      </x:c>
    </x:row>
    <x:row r="167" ht="23" customHeight="1">
      <x:c r="A167" s="10" t="d">
        <x:v>2026-06-12T00:00:00.000Z</x:v>
      </x:c>
      <x:c r="B167" s="2" t="n">
        <x:v>2026</x:v>
      </x:c>
      <x:c r="C167" s="2" t="n">
        <x:v>6</x:v>
      </x:c>
      <x:c r="D167" s="2" t="str">
        <x:v>Jun</x:v>
      </x:c>
      <x:c r="E167" s="2" t="str">
        <x:v>2026-06</x:v>
      </x:c>
      <x:c r="F167" s="2" t="n">
        <x:v>202606</x:v>
      </x:c>
    </x:row>
    <x:row r="168" ht="23" customHeight="1">
      <x:c r="A168" s="10" t="d">
        <x:v>2026-06-13T00:00:00.000Z</x:v>
      </x:c>
      <x:c r="B168" s="2" t="n">
        <x:v>2026</x:v>
      </x:c>
      <x:c r="C168" s="2" t="n">
        <x:v>6</x:v>
      </x:c>
      <x:c r="D168" s="2" t="str">
        <x:v>Jun</x:v>
      </x:c>
      <x:c r="E168" s="2" t="str">
        <x:v>2026-06</x:v>
      </x:c>
      <x:c r="F168" s="2" t="n">
        <x:v>202606</x:v>
      </x:c>
    </x:row>
    <x:row r="169" ht="23" customHeight="1">
      <x:c r="A169" s="10" t="d">
        <x:v>2026-06-14T00:00:00.000Z</x:v>
      </x:c>
      <x:c r="B169" s="2" t="n">
        <x:v>2026</x:v>
      </x:c>
      <x:c r="C169" s="2" t="n">
        <x:v>6</x:v>
      </x:c>
      <x:c r="D169" s="2" t="str">
        <x:v>Jun</x:v>
      </x:c>
      <x:c r="E169" s="2" t="str">
        <x:v>2026-06</x:v>
      </x:c>
      <x:c r="F169" s="2" t="n">
        <x:v>202606</x:v>
      </x:c>
    </x:row>
    <x:row r="170" ht="23" customHeight="1">
      <x:c r="A170" s="10" t="d">
        <x:v>2026-06-15T00:00:00.000Z</x:v>
      </x:c>
      <x:c r="B170" s="2" t="n">
        <x:v>2026</x:v>
      </x:c>
      <x:c r="C170" s="2" t="n">
        <x:v>6</x:v>
      </x:c>
      <x:c r="D170" s="2" t="str">
        <x:v>Jun</x:v>
      </x:c>
      <x:c r="E170" s="2" t="str">
        <x:v>2026-06</x:v>
      </x:c>
      <x:c r="F170" s="2" t="n">
        <x:v>202606</x:v>
      </x:c>
    </x:row>
    <x:row r="171" ht="23" customHeight="1">
      <x:c r="A171" s="10" t="d">
        <x:v>2026-06-16T00:00:00.000Z</x:v>
      </x:c>
      <x:c r="B171" s="2" t="n">
        <x:v>2026</x:v>
      </x:c>
      <x:c r="C171" s="2" t="n">
        <x:v>6</x:v>
      </x:c>
      <x:c r="D171" s="2" t="str">
        <x:v>Jun</x:v>
      </x:c>
      <x:c r="E171" s="2" t="str">
        <x:v>2026-06</x:v>
      </x:c>
      <x:c r="F171" s="2" t="n">
        <x:v>202606</x:v>
      </x:c>
    </x:row>
    <x:row r="172" ht="23" customHeight="1">
      <x:c r="A172" s="10" t="d">
        <x:v>2026-06-17T00:00:00.000Z</x:v>
      </x:c>
      <x:c r="B172" s="2" t="n">
        <x:v>2026</x:v>
      </x:c>
      <x:c r="C172" s="2" t="n">
        <x:v>6</x:v>
      </x:c>
      <x:c r="D172" s="2" t="str">
        <x:v>Jun</x:v>
      </x:c>
      <x:c r="E172" s="2" t="str">
        <x:v>2026-06</x:v>
      </x:c>
      <x:c r="F172" s="2" t="n">
        <x:v>202606</x:v>
      </x:c>
    </x:row>
    <x:row r="173" ht="23" customHeight="1">
      <x:c r="A173" s="10" t="d">
        <x:v>2026-06-18T00:00:00.000Z</x:v>
      </x:c>
      <x:c r="B173" s="2" t="n">
        <x:v>2026</x:v>
      </x:c>
      <x:c r="C173" s="2" t="n">
        <x:v>6</x:v>
      </x:c>
      <x:c r="D173" s="2" t="str">
        <x:v>Jun</x:v>
      </x:c>
      <x:c r="E173" s="2" t="str">
        <x:v>2026-06</x:v>
      </x:c>
      <x:c r="F173" s="2" t="n">
        <x:v>202606</x:v>
      </x:c>
    </x:row>
    <x:row r="174" ht="23" customHeight="1">
      <x:c r="A174" s="10" t="d">
        <x:v>2026-06-19T00:00:00.000Z</x:v>
      </x:c>
      <x:c r="B174" s="2" t="n">
        <x:v>2026</x:v>
      </x:c>
      <x:c r="C174" s="2" t="n">
        <x:v>6</x:v>
      </x:c>
      <x:c r="D174" s="2" t="str">
        <x:v>Jun</x:v>
      </x:c>
      <x:c r="E174" s="2" t="str">
        <x:v>2026-06</x:v>
      </x:c>
      <x:c r="F174" s="2" t="n">
        <x:v>202606</x:v>
      </x:c>
    </x:row>
    <x:row r="175" ht="23" customHeight="1">
      <x:c r="A175" s="10" t="d">
        <x:v>2026-06-20T00:00:00.000Z</x:v>
      </x:c>
      <x:c r="B175" s="2" t="n">
        <x:v>2026</x:v>
      </x:c>
      <x:c r="C175" s="2" t="n">
        <x:v>6</x:v>
      </x:c>
      <x:c r="D175" s="2" t="str">
        <x:v>Jun</x:v>
      </x:c>
      <x:c r="E175" s="2" t="str">
        <x:v>2026-06</x:v>
      </x:c>
      <x:c r="F175" s="2" t="n">
        <x:v>202606</x:v>
      </x:c>
    </x:row>
    <x:row r="176" ht="23" customHeight="1">
      <x:c r="A176" s="10" t="d">
        <x:v>2026-06-21T00:00:00.000Z</x:v>
      </x:c>
      <x:c r="B176" s="2" t="n">
        <x:v>2026</x:v>
      </x:c>
      <x:c r="C176" s="2" t="n">
        <x:v>6</x:v>
      </x:c>
      <x:c r="D176" s="2" t="str">
        <x:v>Jun</x:v>
      </x:c>
      <x:c r="E176" s="2" t="str">
        <x:v>2026-06</x:v>
      </x:c>
      <x:c r="F176" s="2" t="n">
        <x:v>202606</x:v>
      </x:c>
    </x:row>
    <x:row r="177" ht="23" customHeight="1">
      <x:c r="A177" s="10" t="d">
        <x:v>2026-06-22T00:00:00.000Z</x:v>
      </x:c>
      <x:c r="B177" s="2" t="n">
        <x:v>2026</x:v>
      </x:c>
      <x:c r="C177" s="2" t="n">
        <x:v>6</x:v>
      </x:c>
      <x:c r="D177" s="2" t="str">
        <x:v>Jun</x:v>
      </x:c>
      <x:c r="E177" s="2" t="str">
        <x:v>2026-06</x:v>
      </x:c>
      <x:c r="F177" s="2" t="n">
        <x:v>202606</x:v>
      </x:c>
    </x:row>
    <x:row r="178" ht="23" customHeight="1">
      <x:c r="A178" s="10" t="d">
        <x:v>2026-06-23T00:00:00.000Z</x:v>
      </x:c>
      <x:c r="B178" s="2" t="n">
        <x:v>2026</x:v>
      </x:c>
      <x:c r="C178" s="2" t="n">
        <x:v>6</x:v>
      </x:c>
      <x:c r="D178" s="2" t="str">
        <x:v>Jun</x:v>
      </x:c>
      <x:c r="E178" s="2" t="str">
        <x:v>2026-06</x:v>
      </x:c>
      <x:c r="F178" s="2" t="n">
        <x:v>202606</x:v>
      </x:c>
    </x:row>
    <x:row r="179" ht="23" customHeight="1">
      <x:c r="A179" s="10" t="d">
        <x:v>2026-06-24T00:00:00.000Z</x:v>
      </x:c>
      <x:c r="B179" s="2" t="n">
        <x:v>2026</x:v>
      </x:c>
      <x:c r="C179" s="2" t="n">
        <x:v>6</x:v>
      </x:c>
      <x:c r="D179" s="2" t="str">
        <x:v>Jun</x:v>
      </x:c>
      <x:c r="E179" s="2" t="str">
        <x:v>2026-06</x:v>
      </x:c>
      <x:c r="F179" s="2" t="n">
        <x:v>202606</x:v>
      </x:c>
    </x:row>
    <x:row r="180" ht="23" customHeight="1">
      <x:c r="A180" s="10" t="d">
        <x:v>2026-06-25T00:00:00.000Z</x:v>
      </x:c>
      <x:c r="B180" s="2" t="n">
        <x:v>2026</x:v>
      </x:c>
      <x:c r="C180" s="2" t="n">
        <x:v>6</x:v>
      </x:c>
      <x:c r="D180" s="2" t="str">
        <x:v>Jun</x:v>
      </x:c>
      <x:c r="E180" s="2" t="str">
        <x:v>2026-06</x:v>
      </x:c>
      <x:c r="F180" s="2" t="n">
        <x:v>202606</x:v>
      </x:c>
    </x:row>
    <x:row r="181" ht="23" customHeight="1">
      <x:c r="A181" s="10" t="d">
        <x:v>2026-06-26T00:00:00.000Z</x:v>
      </x:c>
      <x:c r="B181" s="2" t="n">
        <x:v>2026</x:v>
      </x:c>
      <x:c r="C181" s="2" t="n">
        <x:v>6</x:v>
      </x:c>
      <x:c r="D181" s="2" t="str">
        <x:v>Jun</x:v>
      </x:c>
      <x:c r="E181" s="2" t="str">
        <x:v>2026-06</x:v>
      </x:c>
      <x:c r="F181" s="2" t="n">
        <x:v>202606</x:v>
      </x:c>
    </x:row>
    <x:row r="182" ht="23" customHeight="1">
      <x:c r="A182" s="10" t="d">
        <x:v>2026-06-27T00:00:00.000Z</x:v>
      </x:c>
      <x:c r="B182" s="2" t="n">
        <x:v>2026</x:v>
      </x:c>
      <x:c r="C182" s="2" t="n">
        <x:v>6</x:v>
      </x:c>
      <x:c r="D182" s="2" t="str">
        <x:v>Jun</x:v>
      </x:c>
      <x:c r="E182" s="2" t="str">
        <x:v>2026-06</x:v>
      </x:c>
      <x:c r="F182" s="2" t="n">
        <x:v>202606</x:v>
      </x:c>
    </x:row>
    <x:row r="183" ht="23" customHeight="1">
      <x:c r="A183" s="10" t="d">
        <x:v>2026-06-28T00:00:00.000Z</x:v>
      </x:c>
      <x:c r="B183" s="2" t="n">
        <x:v>2026</x:v>
      </x:c>
      <x:c r="C183" s="2" t="n">
        <x:v>6</x:v>
      </x:c>
      <x:c r="D183" s="2" t="str">
        <x:v>Jun</x:v>
      </x:c>
      <x:c r="E183" s="2" t="str">
        <x:v>2026-06</x:v>
      </x:c>
      <x:c r="F183" s="2" t="n">
        <x:v>202606</x:v>
      </x:c>
    </x:row>
    <x:row r="184" ht="23" customHeight="1">
      <x:c r="A184" s="10" t="d">
        <x:v>2026-06-29T00:00:00.000Z</x:v>
      </x:c>
      <x:c r="B184" s="2" t="n">
        <x:v>2026</x:v>
      </x:c>
      <x:c r="C184" s="2" t="n">
        <x:v>6</x:v>
      </x:c>
      <x:c r="D184" s="2" t="str">
        <x:v>Jun</x:v>
      </x:c>
      <x:c r="E184" s="2" t="str">
        <x:v>2026-06</x:v>
      </x:c>
      <x:c r="F184" s="2" t="n">
        <x:v>202606</x:v>
      </x:c>
    </x:row>
    <x:row r="185" ht="23" customHeight="1">
      <x:c r="A185" s="10" t="d">
        <x:v>2026-06-30T00:00:00.000Z</x:v>
      </x:c>
      <x:c r="B185" s="2" t="n">
        <x:v>2026</x:v>
      </x:c>
      <x:c r="C185" s="2" t="n">
        <x:v>6</x:v>
      </x:c>
      <x:c r="D185" s="2" t="str">
        <x:v>Jun</x:v>
      </x:c>
      <x:c r="E185" s="2" t="str">
        <x:v>2026-06</x:v>
      </x:c>
      <x:c r="F185" s="2" t="n">
        <x:v>202606</x:v>
      </x:c>
    </x:row>
    <x:row r="186" ht="23" customHeight="1">
      <x:c r="A186" s="10" t="d">
        <x:v>2026-07-01T00:00:00.000Z</x:v>
      </x:c>
      <x:c r="B186" s="2" t="n">
        <x:v>2026</x:v>
      </x:c>
      <x:c r="C186" s="2" t="n">
        <x:v>7</x:v>
      </x:c>
      <x:c r="D186" s="2" t="str">
        <x:v>Jul</x:v>
      </x:c>
      <x:c r="E186" s="2" t="str">
        <x:v>2026-07</x:v>
      </x:c>
      <x:c r="F186" s="2" t="n">
        <x:v>202607</x:v>
      </x:c>
    </x:row>
    <x:row r="187" ht="23" customHeight="1">
      <x:c r="A187" s="10" t="d">
        <x:v>2026-07-02T00:00:00.000Z</x:v>
      </x:c>
      <x:c r="B187" s="2" t="n">
        <x:v>2026</x:v>
      </x:c>
      <x:c r="C187" s="2" t="n">
        <x:v>7</x:v>
      </x:c>
      <x:c r="D187" s="2" t="str">
        <x:v>Jul</x:v>
      </x:c>
      <x:c r="E187" s="2" t="str">
        <x:v>2026-07</x:v>
      </x:c>
      <x:c r="F187" s="2" t="n">
        <x:v>202607</x:v>
      </x:c>
    </x:row>
    <x:row r="188" ht="23" customHeight="1">
      <x:c r="A188" s="10" t="d">
        <x:v>2026-07-03T00:00:00.000Z</x:v>
      </x:c>
      <x:c r="B188" s="2" t="n">
        <x:v>2026</x:v>
      </x:c>
      <x:c r="C188" s="2" t="n">
        <x:v>7</x:v>
      </x:c>
      <x:c r="D188" s="2" t="str">
        <x:v>Jul</x:v>
      </x:c>
      <x:c r="E188" s="2" t="str">
        <x:v>2026-07</x:v>
      </x:c>
      <x:c r="F188" s="2" t="n">
        <x:v>202607</x:v>
      </x:c>
    </x:row>
    <x:row r="189" ht="23" customHeight="1">
      <x:c r="A189" s="10" t="d">
        <x:v>2026-07-04T00:00:00.000Z</x:v>
      </x:c>
      <x:c r="B189" s="2" t="n">
        <x:v>2026</x:v>
      </x:c>
      <x:c r="C189" s="2" t="n">
        <x:v>7</x:v>
      </x:c>
      <x:c r="D189" s="2" t="str">
        <x:v>Jul</x:v>
      </x:c>
      <x:c r="E189" s="2" t="str">
        <x:v>2026-07</x:v>
      </x:c>
      <x:c r="F189" s="2" t="n">
        <x:v>202607</x:v>
      </x:c>
    </x:row>
    <x:row r="190" ht="23" customHeight="1">
      <x:c r="A190" s="10" t="d">
        <x:v>2026-07-05T00:00:00.000Z</x:v>
      </x:c>
      <x:c r="B190" s="2" t="n">
        <x:v>2026</x:v>
      </x:c>
      <x:c r="C190" s="2" t="n">
        <x:v>7</x:v>
      </x:c>
      <x:c r="D190" s="2" t="str">
        <x:v>Jul</x:v>
      </x:c>
      <x:c r="E190" s="2" t="str">
        <x:v>2026-07</x:v>
      </x:c>
      <x:c r="F190" s="2" t="n">
        <x:v>202607</x:v>
      </x:c>
    </x:row>
    <x:row r="191" ht="23" customHeight="1">
      <x:c r="A191" s="10" t="d">
        <x:v>2026-07-06T00:00:00.000Z</x:v>
      </x:c>
      <x:c r="B191" s="2" t="n">
        <x:v>2026</x:v>
      </x:c>
      <x:c r="C191" s="2" t="n">
        <x:v>7</x:v>
      </x:c>
      <x:c r="D191" s="2" t="str">
        <x:v>Jul</x:v>
      </x:c>
      <x:c r="E191" s="2" t="str">
        <x:v>2026-07</x:v>
      </x:c>
      <x:c r="F191" s="2" t="n">
        <x:v>202607</x:v>
      </x:c>
    </x:row>
    <x:row r="192" ht="23" customHeight="1">
      <x:c r="A192" s="10" t="d">
        <x:v>2026-07-07T00:00:00.000Z</x:v>
      </x:c>
      <x:c r="B192" s="2" t="n">
        <x:v>2026</x:v>
      </x:c>
      <x:c r="C192" s="2" t="n">
        <x:v>7</x:v>
      </x:c>
      <x:c r="D192" s="2" t="str">
        <x:v>Jul</x:v>
      </x:c>
      <x:c r="E192" s="2" t="str">
        <x:v>2026-07</x:v>
      </x:c>
      <x:c r="F192" s="2" t="n">
        <x:v>202607</x:v>
      </x:c>
    </x:row>
    <x:row r="193" ht="23" customHeight="1">
      <x:c r="A193" s="10" t="d">
        <x:v>2026-07-08T00:00:00.000Z</x:v>
      </x:c>
      <x:c r="B193" s="2" t="n">
        <x:v>2026</x:v>
      </x:c>
      <x:c r="C193" s="2" t="n">
        <x:v>7</x:v>
      </x:c>
      <x:c r="D193" s="2" t="str">
        <x:v>Jul</x:v>
      </x:c>
      <x:c r="E193" s="2" t="str">
        <x:v>2026-07</x:v>
      </x:c>
      <x:c r="F193" s="2" t="n">
        <x:v>202607</x:v>
      </x:c>
    </x:row>
    <x:row r="194" ht="23" customHeight="1">
      <x:c r="A194" s="10" t="d">
        <x:v>2026-07-09T00:00:00.000Z</x:v>
      </x:c>
      <x:c r="B194" s="2" t="n">
        <x:v>2026</x:v>
      </x:c>
      <x:c r="C194" s="2" t="n">
        <x:v>7</x:v>
      </x:c>
      <x:c r="D194" s="2" t="str">
        <x:v>Jul</x:v>
      </x:c>
      <x:c r="E194" s="2" t="str">
        <x:v>2026-07</x:v>
      </x:c>
      <x:c r="F194" s="2" t="n">
        <x:v>202607</x:v>
      </x:c>
    </x:row>
    <x:row r="195" ht="23" customHeight="1">
      <x:c r="A195" s="10" t="d">
        <x:v>2026-07-10T00:00:00.000Z</x:v>
      </x:c>
      <x:c r="B195" s="2" t="n">
        <x:v>2026</x:v>
      </x:c>
      <x:c r="C195" s="2" t="n">
        <x:v>7</x:v>
      </x:c>
      <x:c r="D195" s="2" t="str">
        <x:v>Jul</x:v>
      </x:c>
      <x:c r="E195" s="2" t="str">
        <x:v>2026-07</x:v>
      </x:c>
      <x:c r="F195" s="2" t="n">
        <x:v>202607</x:v>
      </x:c>
    </x:row>
    <x:row r="196" ht="23" customHeight="1">
      <x:c r="A196" s="10" t="d">
        <x:v>2026-07-11T00:00:00.000Z</x:v>
      </x:c>
      <x:c r="B196" s="2" t="n">
        <x:v>2026</x:v>
      </x:c>
      <x:c r="C196" s="2" t="n">
        <x:v>7</x:v>
      </x:c>
      <x:c r="D196" s="2" t="str">
        <x:v>Jul</x:v>
      </x:c>
      <x:c r="E196" s="2" t="str">
        <x:v>2026-07</x:v>
      </x:c>
      <x:c r="F196" s="2" t="n">
        <x:v>202607</x:v>
      </x:c>
    </x:row>
    <x:row r="197" ht="23" customHeight="1">
      <x:c r="A197" s="10" t="d">
        <x:v>2026-07-12T00:00:00.000Z</x:v>
      </x:c>
      <x:c r="B197" s="2" t="n">
        <x:v>2026</x:v>
      </x:c>
      <x:c r="C197" s="2" t="n">
        <x:v>7</x:v>
      </x:c>
      <x:c r="D197" s="2" t="str">
        <x:v>Jul</x:v>
      </x:c>
      <x:c r="E197" s="2" t="str">
        <x:v>2026-07</x:v>
      </x:c>
      <x:c r="F197" s="2" t="n">
        <x:v>202607</x:v>
      </x:c>
    </x:row>
    <x:row r="198" ht="23" customHeight="1">
      <x:c r="A198" s="10" t="d">
        <x:v>2026-07-13T00:00:00.000Z</x:v>
      </x:c>
      <x:c r="B198" s="2" t="n">
        <x:v>2026</x:v>
      </x:c>
      <x:c r="C198" s="2" t="n">
        <x:v>7</x:v>
      </x:c>
      <x:c r="D198" s="2" t="str">
        <x:v>Jul</x:v>
      </x:c>
      <x:c r="E198" s="2" t="str">
        <x:v>2026-07</x:v>
      </x:c>
      <x:c r="F198" s="2" t="n">
        <x:v>202607</x:v>
      </x:c>
    </x:row>
    <x:row r="199" ht="23" customHeight="1">
      <x:c r="A199" s="10" t="d">
        <x:v>2026-07-14T00:00:00.000Z</x:v>
      </x:c>
      <x:c r="B199" s="2" t="n">
        <x:v>2026</x:v>
      </x:c>
      <x:c r="C199" s="2" t="n">
        <x:v>7</x:v>
      </x:c>
      <x:c r="D199" s="2" t="str">
        <x:v>Jul</x:v>
      </x:c>
      <x:c r="E199" s="2" t="str">
        <x:v>2026-07</x:v>
      </x:c>
      <x:c r="F199" s="2" t="n">
        <x:v>202607</x:v>
      </x:c>
    </x:row>
    <x:row r="200" ht="23" customHeight="1">
      <x:c r="A200" s="10" t="d">
        <x:v>2026-07-15T00:00:00.000Z</x:v>
      </x:c>
      <x:c r="B200" s="2" t="n">
        <x:v>2026</x:v>
      </x:c>
      <x:c r="C200" s="2" t="n">
        <x:v>7</x:v>
      </x:c>
      <x:c r="D200" s="2" t="str">
        <x:v>Jul</x:v>
      </x:c>
      <x:c r="E200" s="2" t="str">
        <x:v>2026-07</x:v>
      </x:c>
      <x:c r="F200" s="2" t="n">
        <x:v>202607</x:v>
      </x:c>
    </x:row>
    <x:row r="201" ht="23" customHeight="1">
      <x:c r="A201" s="10" t="d">
        <x:v>2026-07-16T00:00:00.000Z</x:v>
      </x:c>
      <x:c r="B201" s="2" t="n">
        <x:v>2026</x:v>
      </x:c>
      <x:c r="C201" s="2" t="n">
        <x:v>7</x:v>
      </x:c>
      <x:c r="D201" s="2" t="str">
        <x:v>Jul</x:v>
      </x:c>
      <x:c r="E201" s="2" t="str">
        <x:v>2026-07</x:v>
      </x:c>
      <x:c r="F201" s="2" t="n">
        <x:v>202607</x:v>
      </x:c>
    </x:row>
    <x:row r="202" ht="23" customHeight="1">
      <x:c r="A202" s="10" t="d">
        <x:v>2026-07-17T00:00:00.000Z</x:v>
      </x:c>
      <x:c r="B202" s="2" t="n">
        <x:v>2026</x:v>
      </x:c>
      <x:c r="C202" s="2" t="n">
        <x:v>7</x:v>
      </x:c>
      <x:c r="D202" s="2" t="str">
        <x:v>Jul</x:v>
      </x:c>
      <x:c r="E202" s="2" t="str">
        <x:v>2026-07</x:v>
      </x:c>
      <x:c r="F202" s="2" t="n">
        <x:v>202607</x:v>
      </x:c>
    </x:row>
    <x:row r="203" ht="23" customHeight="1">
      <x:c r="A203" s="10" t="d">
        <x:v>2026-07-18T00:00:00.000Z</x:v>
      </x:c>
      <x:c r="B203" s="2" t="n">
        <x:v>2026</x:v>
      </x:c>
      <x:c r="C203" s="2" t="n">
        <x:v>7</x:v>
      </x:c>
      <x:c r="D203" s="2" t="str">
        <x:v>Jul</x:v>
      </x:c>
      <x:c r="E203" s="2" t="str">
        <x:v>2026-07</x:v>
      </x:c>
      <x:c r="F203" s="2" t="n">
        <x:v>202607</x:v>
      </x:c>
    </x:row>
    <x:row r="204" ht="23" customHeight="1">
      <x:c r="A204" s="10" t="d">
        <x:v>2026-07-19T00:00:00.000Z</x:v>
      </x:c>
      <x:c r="B204" s="2" t="n">
        <x:v>2026</x:v>
      </x:c>
      <x:c r="C204" s="2" t="n">
        <x:v>7</x:v>
      </x:c>
      <x:c r="D204" s="2" t="str">
        <x:v>Jul</x:v>
      </x:c>
      <x:c r="E204" s="2" t="str">
        <x:v>2026-07</x:v>
      </x:c>
      <x:c r="F204" s="2" t="n">
        <x:v>202607</x:v>
      </x:c>
    </x:row>
    <x:row r="205" ht="23" customHeight="1">
      <x:c r="A205" s="10" t="d">
        <x:v>2026-07-20T00:00:00.000Z</x:v>
      </x:c>
      <x:c r="B205" s="2" t="n">
        <x:v>2026</x:v>
      </x:c>
      <x:c r="C205" s="2" t="n">
        <x:v>7</x:v>
      </x:c>
      <x:c r="D205" s="2" t="str">
        <x:v>Jul</x:v>
      </x:c>
      <x:c r="E205" s="2" t="str">
        <x:v>2026-07</x:v>
      </x:c>
      <x:c r="F205" s="2" t="n">
        <x:v>202607</x:v>
      </x:c>
    </x:row>
    <x:row r="206" ht="23" customHeight="1">
      <x:c r="A206" s="10" t="d">
        <x:v>2026-07-21T00:00:00.000Z</x:v>
      </x:c>
      <x:c r="B206" s="2" t="n">
        <x:v>2026</x:v>
      </x:c>
      <x:c r="C206" s="2" t="n">
        <x:v>7</x:v>
      </x:c>
      <x:c r="D206" s="2" t="str">
        <x:v>Jul</x:v>
      </x:c>
      <x:c r="E206" s="2" t="str">
        <x:v>2026-07</x:v>
      </x:c>
      <x:c r="F206" s="2" t="n">
        <x:v>202607</x:v>
      </x:c>
    </x:row>
    <x:row r="207" ht="23" customHeight="1">
      <x:c r="A207" s="10" t="d">
        <x:v>2026-07-22T00:00:00.000Z</x:v>
      </x:c>
      <x:c r="B207" s="2" t="n">
        <x:v>2026</x:v>
      </x:c>
      <x:c r="C207" s="2" t="n">
        <x:v>7</x:v>
      </x:c>
      <x:c r="D207" s="2" t="str">
        <x:v>Jul</x:v>
      </x:c>
      <x:c r="E207" s="2" t="str">
        <x:v>2026-07</x:v>
      </x:c>
      <x:c r="F207" s="2" t="n">
        <x:v>202607</x:v>
      </x:c>
    </x:row>
    <x:row r="208" ht="23" customHeight="1">
      <x:c r="A208" s="10" t="d">
        <x:v>2026-07-23T00:00:00.000Z</x:v>
      </x:c>
      <x:c r="B208" s="2" t="n">
        <x:v>2026</x:v>
      </x:c>
      <x:c r="C208" s="2" t="n">
        <x:v>7</x:v>
      </x:c>
      <x:c r="D208" s="2" t="str">
        <x:v>Jul</x:v>
      </x:c>
      <x:c r="E208" s="2" t="str">
        <x:v>2026-07</x:v>
      </x:c>
      <x:c r="F208" s="2" t="n">
        <x:v>202607</x:v>
      </x:c>
    </x:row>
    <x:row r="209" ht="23" customHeight="1">
      <x:c r="A209" s="10" t="d">
        <x:v>2026-07-24T00:00:00.000Z</x:v>
      </x:c>
      <x:c r="B209" s="2" t="n">
        <x:v>2026</x:v>
      </x:c>
      <x:c r="C209" s="2" t="n">
        <x:v>7</x:v>
      </x:c>
      <x:c r="D209" s="2" t="str">
        <x:v>Jul</x:v>
      </x:c>
      <x:c r="E209" s="2" t="str">
        <x:v>2026-07</x:v>
      </x:c>
      <x:c r="F209" s="2" t="n">
        <x:v>202607</x:v>
      </x:c>
    </x:row>
    <x:row r="210" ht="23" customHeight="1">
      <x:c r="A210" s="10" t="d">
        <x:v>2026-07-25T00:00:00.000Z</x:v>
      </x:c>
      <x:c r="B210" s="2" t="n">
        <x:v>2026</x:v>
      </x:c>
      <x:c r="C210" s="2" t="n">
        <x:v>7</x:v>
      </x:c>
      <x:c r="D210" s="2" t="str">
        <x:v>Jul</x:v>
      </x:c>
      <x:c r="E210" s="2" t="str">
        <x:v>2026-07</x:v>
      </x:c>
      <x:c r="F210" s="2" t="n">
        <x:v>202607</x:v>
      </x:c>
    </x:row>
    <x:row r="211" ht="23" customHeight="1">
      <x:c r="A211" s="10" t="d">
        <x:v>2026-07-26T00:00:00.000Z</x:v>
      </x:c>
      <x:c r="B211" s="2" t="n">
        <x:v>2026</x:v>
      </x:c>
      <x:c r="C211" s="2" t="n">
        <x:v>7</x:v>
      </x:c>
      <x:c r="D211" s="2" t="str">
        <x:v>Jul</x:v>
      </x:c>
      <x:c r="E211" s="2" t="str">
        <x:v>2026-07</x:v>
      </x:c>
      <x:c r="F211" s="2" t="n">
        <x:v>202607</x:v>
      </x:c>
    </x:row>
    <x:row r="212" ht="23" customHeight="1">
      <x:c r="A212" s="10" t="d">
        <x:v>2026-07-27T00:00:00.000Z</x:v>
      </x:c>
      <x:c r="B212" s="2" t="n">
        <x:v>2026</x:v>
      </x:c>
      <x:c r="C212" s="2" t="n">
        <x:v>7</x:v>
      </x:c>
      <x:c r="D212" s="2" t="str">
        <x:v>Jul</x:v>
      </x:c>
      <x:c r="E212" s="2" t="str">
        <x:v>2026-07</x:v>
      </x:c>
      <x:c r="F212" s="2" t="n">
        <x:v>202607</x:v>
      </x:c>
    </x:row>
    <x:row r="213" ht="23" customHeight="1">
      <x:c r="A213" s="10" t="d">
        <x:v>2026-07-28T00:00:00.000Z</x:v>
      </x:c>
      <x:c r="B213" s="2" t="n">
        <x:v>2026</x:v>
      </x:c>
      <x:c r="C213" s="2" t="n">
        <x:v>7</x:v>
      </x:c>
      <x:c r="D213" s="2" t="str">
        <x:v>Jul</x:v>
      </x:c>
      <x:c r="E213" s="2" t="str">
        <x:v>2026-07</x:v>
      </x:c>
      <x:c r="F213" s="2" t="n">
        <x:v>202607</x:v>
      </x:c>
    </x:row>
    <x:row r="214" ht="23" customHeight="1">
      <x:c r="A214" s="10" t="d">
        <x:v>2026-07-29T00:00:00.000Z</x:v>
      </x:c>
      <x:c r="B214" s="2" t="n">
        <x:v>2026</x:v>
      </x:c>
      <x:c r="C214" s="2" t="n">
        <x:v>7</x:v>
      </x:c>
      <x:c r="D214" s="2" t="str">
        <x:v>Jul</x:v>
      </x:c>
      <x:c r="E214" s="2" t="str">
        <x:v>2026-07</x:v>
      </x:c>
      <x:c r="F214" s="2" t="n">
        <x:v>202607</x:v>
      </x:c>
    </x:row>
    <x:row r="215" ht="23" customHeight="1">
      <x:c r="A215" s="10" t="d">
        <x:v>2026-07-30T00:00:00.000Z</x:v>
      </x:c>
      <x:c r="B215" s="2" t="n">
        <x:v>2026</x:v>
      </x:c>
      <x:c r="C215" s="2" t="n">
        <x:v>7</x:v>
      </x:c>
      <x:c r="D215" s="2" t="str">
        <x:v>Jul</x:v>
      </x:c>
      <x:c r="E215" s="2" t="str">
        <x:v>2026-07</x:v>
      </x:c>
      <x:c r="F215" s="2" t="n">
        <x:v>202607</x:v>
      </x:c>
    </x:row>
    <x:row r="216" ht="23" customHeight="1">
      <x:c r="A216" s="10" t="d">
        <x:v>2026-07-31T00:00:00.000Z</x:v>
      </x:c>
      <x:c r="B216" s="2" t="n">
        <x:v>2026</x:v>
      </x:c>
      <x:c r="C216" s="2" t="n">
        <x:v>7</x:v>
      </x:c>
      <x:c r="D216" s="2" t="str">
        <x:v>Jul</x:v>
      </x:c>
      <x:c r="E216" s="2" t="str">
        <x:v>2026-07</x:v>
      </x:c>
      <x:c r="F216" s="2" t="n">
        <x:v>202607</x:v>
      </x:c>
    </x:row>
    <x:row r="217" ht="23" customHeight="1">
      <x:c r="A217" s="10" t="d">
        <x:v>2026-08-01T00:00:00.000Z</x:v>
      </x:c>
      <x:c r="B217" s="2" t="n">
        <x:v>2026</x:v>
      </x:c>
      <x:c r="C217" s="2" t="n">
        <x:v>8</x:v>
      </x:c>
      <x:c r="D217" s="2" t="str">
        <x:v>Aug</x:v>
      </x:c>
      <x:c r="E217" s="2" t="str">
        <x:v>2026-08</x:v>
      </x:c>
      <x:c r="F217" s="2" t="n">
        <x:v>202608</x:v>
      </x:c>
    </x:row>
    <x:row r="218" ht="23" customHeight="1">
      <x:c r="A218" s="10" t="d">
        <x:v>2026-08-02T00:00:00.000Z</x:v>
      </x:c>
      <x:c r="B218" s="2" t="n">
        <x:v>2026</x:v>
      </x:c>
      <x:c r="C218" s="2" t="n">
        <x:v>8</x:v>
      </x:c>
      <x:c r="D218" s="2" t="str">
        <x:v>Aug</x:v>
      </x:c>
      <x:c r="E218" s="2" t="str">
        <x:v>2026-08</x:v>
      </x:c>
      <x:c r="F218" s="2" t="n">
        <x:v>202608</x:v>
      </x:c>
    </x:row>
    <x:row r="219" ht="23" customHeight="1">
      <x:c r="A219" s="10" t="d">
        <x:v>2026-08-03T00:00:00.000Z</x:v>
      </x:c>
      <x:c r="B219" s="2" t="n">
        <x:v>2026</x:v>
      </x:c>
      <x:c r="C219" s="2" t="n">
        <x:v>8</x:v>
      </x:c>
      <x:c r="D219" s="2" t="str">
        <x:v>Aug</x:v>
      </x:c>
      <x:c r="E219" s="2" t="str">
        <x:v>2026-08</x:v>
      </x:c>
      <x:c r="F219" s="2" t="n">
        <x:v>202608</x:v>
      </x:c>
    </x:row>
    <x:row r="220" ht="23" customHeight="1">
      <x:c r="A220" s="10" t="d">
        <x:v>2026-08-04T00:00:00.000Z</x:v>
      </x:c>
      <x:c r="B220" s="2" t="n">
        <x:v>2026</x:v>
      </x:c>
      <x:c r="C220" s="2" t="n">
        <x:v>8</x:v>
      </x:c>
      <x:c r="D220" s="2" t="str">
        <x:v>Aug</x:v>
      </x:c>
      <x:c r="E220" s="2" t="str">
        <x:v>2026-08</x:v>
      </x:c>
      <x:c r="F220" s="2" t="n">
        <x:v>202608</x:v>
      </x:c>
    </x:row>
    <x:row r="221" ht="23" customHeight="1">
      <x:c r="A221" s="10" t="d">
        <x:v>2026-08-05T00:00:00.000Z</x:v>
      </x:c>
      <x:c r="B221" s="2" t="n">
        <x:v>2026</x:v>
      </x:c>
      <x:c r="C221" s="2" t="n">
        <x:v>8</x:v>
      </x:c>
      <x:c r="D221" s="2" t="str">
        <x:v>Aug</x:v>
      </x:c>
      <x:c r="E221" s="2" t="str">
        <x:v>2026-08</x:v>
      </x:c>
      <x:c r="F221" s="2" t="n">
        <x:v>202608</x:v>
      </x:c>
    </x:row>
    <x:row r="222" ht="23" customHeight="1">
      <x:c r="A222" s="10" t="d">
        <x:v>2026-08-06T00:00:00.000Z</x:v>
      </x:c>
      <x:c r="B222" s="2" t="n">
        <x:v>2026</x:v>
      </x:c>
      <x:c r="C222" s="2" t="n">
        <x:v>8</x:v>
      </x:c>
      <x:c r="D222" s="2" t="str">
        <x:v>Aug</x:v>
      </x:c>
      <x:c r="E222" s="2" t="str">
        <x:v>2026-08</x:v>
      </x:c>
      <x:c r="F222" s="2" t="n">
        <x:v>202608</x:v>
      </x:c>
    </x:row>
    <x:row r="223" ht="23" customHeight="1">
      <x:c r="A223" s="10" t="d">
        <x:v>2026-08-07T00:00:00.000Z</x:v>
      </x:c>
      <x:c r="B223" s="2" t="n">
        <x:v>2026</x:v>
      </x:c>
      <x:c r="C223" s="2" t="n">
        <x:v>8</x:v>
      </x:c>
      <x:c r="D223" s="2" t="str">
        <x:v>Aug</x:v>
      </x:c>
      <x:c r="E223" s="2" t="str">
        <x:v>2026-08</x:v>
      </x:c>
      <x:c r="F223" s="2" t="n">
        <x:v>202608</x:v>
      </x:c>
    </x:row>
    <x:row r="224" ht="23" customHeight="1">
      <x:c r="A224" s="10" t="d">
        <x:v>2026-08-08T00:00:00.000Z</x:v>
      </x:c>
      <x:c r="B224" s="2" t="n">
        <x:v>2026</x:v>
      </x:c>
      <x:c r="C224" s="2" t="n">
        <x:v>8</x:v>
      </x:c>
      <x:c r="D224" s="2" t="str">
        <x:v>Aug</x:v>
      </x:c>
      <x:c r="E224" s="2" t="str">
        <x:v>2026-08</x:v>
      </x:c>
      <x:c r="F224" s="2" t="n">
        <x:v>202608</x:v>
      </x:c>
    </x:row>
    <x:row r="225" ht="23" customHeight="1">
      <x:c r="A225" s="10" t="d">
        <x:v>2026-08-09T00:00:00.000Z</x:v>
      </x:c>
      <x:c r="B225" s="2" t="n">
        <x:v>2026</x:v>
      </x:c>
      <x:c r="C225" s="2" t="n">
        <x:v>8</x:v>
      </x:c>
      <x:c r="D225" s="2" t="str">
        <x:v>Aug</x:v>
      </x:c>
      <x:c r="E225" s="2" t="str">
        <x:v>2026-08</x:v>
      </x:c>
      <x:c r="F225" s="2" t="n">
        <x:v>202608</x:v>
      </x:c>
    </x:row>
    <x:row r="226" ht="23" customHeight="1">
      <x:c r="A226" s="10" t="d">
        <x:v>2026-08-10T00:00:00.000Z</x:v>
      </x:c>
      <x:c r="B226" s="2" t="n">
        <x:v>2026</x:v>
      </x:c>
      <x:c r="C226" s="2" t="n">
        <x:v>8</x:v>
      </x:c>
      <x:c r="D226" s="2" t="str">
        <x:v>Aug</x:v>
      </x:c>
      <x:c r="E226" s="2" t="str">
        <x:v>2026-08</x:v>
      </x:c>
      <x:c r="F226" s="2" t="n">
        <x:v>202608</x:v>
      </x:c>
    </x:row>
    <x:row r="227" ht="23" customHeight="1">
      <x:c r="A227" s="10" t="d">
        <x:v>2026-08-11T00:00:00.000Z</x:v>
      </x:c>
      <x:c r="B227" s="2" t="n">
        <x:v>2026</x:v>
      </x:c>
      <x:c r="C227" s="2" t="n">
        <x:v>8</x:v>
      </x:c>
      <x:c r="D227" s="2" t="str">
        <x:v>Aug</x:v>
      </x:c>
      <x:c r="E227" s="2" t="str">
        <x:v>2026-08</x:v>
      </x:c>
      <x:c r="F227" s="2" t="n">
        <x:v>202608</x:v>
      </x:c>
    </x:row>
    <x:row r="228" ht="23" customHeight="1">
      <x:c r="A228" s="10" t="d">
        <x:v>2026-08-12T00:00:00.000Z</x:v>
      </x:c>
      <x:c r="B228" s="2" t="n">
        <x:v>2026</x:v>
      </x:c>
      <x:c r="C228" s="2" t="n">
        <x:v>8</x:v>
      </x:c>
      <x:c r="D228" s="2" t="str">
        <x:v>Aug</x:v>
      </x:c>
      <x:c r="E228" s="2" t="str">
        <x:v>2026-08</x:v>
      </x:c>
      <x:c r="F228" s="2" t="n">
        <x:v>202608</x:v>
      </x:c>
    </x:row>
    <x:row r="229" ht="23" customHeight="1">
      <x:c r="A229" s="10" t="d">
        <x:v>2026-08-13T00:00:00.000Z</x:v>
      </x:c>
      <x:c r="B229" s="2" t="n">
        <x:v>2026</x:v>
      </x:c>
      <x:c r="C229" s="2" t="n">
        <x:v>8</x:v>
      </x:c>
      <x:c r="D229" s="2" t="str">
        <x:v>Aug</x:v>
      </x:c>
      <x:c r="E229" s="2" t="str">
        <x:v>2026-08</x:v>
      </x:c>
      <x:c r="F229" s="2" t="n">
        <x:v>202608</x:v>
      </x:c>
    </x:row>
    <x:row r="230" ht="23" customHeight="1">
      <x:c r="A230" s="10" t="d">
        <x:v>2026-08-14T00:00:00.000Z</x:v>
      </x:c>
      <x:c r="B230" s="2" t="n">
        <x:v>2026</x:v>
      </x:c>
      <x:c r="C230" s="2" t="n">
        <x:v>8</x:v>
      </x:c>
      <x:c r="D230" s="2" t="str">
        <x:v>Aug</x:v>
      </x:c>
      <x:c r="E230" s="2" t="str">
        <x:v>2026-08</x:v>
      </x:c>
      <x:c r="F230" s="2" t="n">
        <x:v>202608</x:v>
      </x:c>
    </x:row>
    <x:row r="231" ht="23" customHeight="1">
      <x:c r="A231" s="10" t="d">
        <x:v>2026-08-15T00:00:00.000Z</x:v>
      </x:c>
      <x:c r="B231" s="2" t="n">
        <x:v>2026</x:v>
      </x:c>
      <x:c r="C231" s="2" t="n">
        <x:v>8</x:v>
      </x:c>
      <x:c r="D231" s="2" t="str">
        <x:v>Aug</x:v>
      </x:c>
      <x:c r="E231" s="2" t="str">
        <x:v>2026-08</x:v>
      </x:c>
      <x:c r="F231" s="2" t="n">
        <x:v>202608</x:v>
      </x:c>
    </x:row>
    <x:row r="232" ht="23" customHeight="1">
      <x:c r="A232" s="10" t="d">
        <x:v>2026-08-16T00:00:00.000Z</x:v>
      </x:c>
      <x:c r="B232" s="2" t="n">
        <x:v>2026</x:v>
      </x:c>
      <x:c r="C232" s="2" t="n">
        <x:v>8</x:v>
      </x:c>
      <x:c r="D232" s="2" t="str">
        <x:v>Aug</x:v>
      </x:c>
      <x:c r="E232" s="2" t="str">
        <x:v>2026-08</x:v>
      </x:c>
      <x:c r="F232" s="2" t="n">
        <x:v>202608</x:v>
      </x:c>
    </x:row>
    <x:row r="233" ht="23" customHeight="1">
      <x:c r="A233" s="10" t="d">
        <x:v>2026-08-17T00:00:00.000Z</x:v>
      </x:c>
      <x:c r="B233" s="2" t="n">
        <x:v>2026</x:v>
      </x:c>
      <x:c r="C233" s="2" t="n">
        <x:v>8</x:v>
      </x:c>
      <x:c r="D233" s="2" t="str">
        <x:v>Aug</x:v>
      </x:c>
      <x:c r="E233" s="2" t="str">
        <x:v>2026-08</x:v>
      </x:c>
      <x:c r="F233" s="2" t="n">
        <x:v>202608</x:v>
      </x:c>
    </x:row>
    <x:row r="234" ht="23" customHeight="1">
      <x:c r="A234" s="10" t="d">
        <x:v>2026-08-18T00:00:00.000Z</x:v>
      </x:c>
      <x:c r="B234" s="2" t="n">
        <x:v>2026</x:v>
      </x:c>
      <x:c r="C234" s="2" t="n">
        <x:v>8</x:v>
      </x:c>
      <x:c r="D234" s="2" t="str">
        <x:v>Aug</x:v>
      </x:c>
      <x:c r="E234" s="2" t="str">
        <x:v>2026-08</x:v>
      </x:c>
      <x:c r="F234" s="2" t="n">
        <x:v>202608</x:v>
      </x:c>
    </x:row>
    <x:row r="235" ht="23" customHeight="1">
      <x:c r="A235" s="10" t="d">
        <x:v>2026-08-19T00:00:00.000Z</x:v>
      </x:c>
      <x:c r="B235" s="2" t="n">
        <x:v>2026</x:v>
      </x:c>
      <x:c r="C235" s="2" t="n">
        <x:v>8</x:v>
      </x:c>
      <x:c r="D235" s="2" t="str">
        <x:v>Aug</x:v>
      </x:c>
      <x:c r="E235" s="2" t="str">
        <x:v>2026-08</x:v>
      </x:c>
      <x:c r="F235" s="2" t="n">
        <x:v>202608</x:v>
      </x:c>
    </x:row>
    <x:row r="236" ht="23" customHeight="1">
      <x:c r="A236" s="10" t="d">
        <x:v>2026-08-20T00:00:00.000Z</x:v>
      </x:c>
      <x:c r="B236" s="2" t="n">
        <x:v>2026</x:v>
      </x:c>
      <x:c r="C236" s="2" t="n">
        <x:v>8</x:v>
      </x:c>
      <x:c r="D236" s="2" t="str">
        <x:v>Aug</x:v>
      </x:c>
      <x:c r="E236" s="2" t="str">
        <x:v>2026-08</x:v>
      </x:c>
      <x:c r="F236" s="2" t="n">
        <x:v>202608</x:v>
      </x:c>
    </x:row>
    <x:row r="237" ht="23" customHeight="1">
      <x:c r="A237" s="10" t="d">
        <x:v>2026-08-21T00:00:00.000Z</x:v>
      </x:c>
      <x:c r="B237" s="2" t="n">
        <x:v>2026</x:v>
      </x:c>
      <x:c r="C237" s="2" t="n">
        <x:v>8</x:v>
      </x:c>
      <x:c r="D237" s="2" t="str">
        <x:v>Aug</x:v>
      </x:c>
      <x:c r="E237" s="2" t="str">
        <x:v>2026-08</x:v>
      </x:c>
      <x:c r="F237" s="2" t="n">
        <x:v>202608</x:v>
      </x:c>
    </x:row>
    <x:row r="238" ht="23" customHeight="1">
      <x:c r="A238" s="10" t="d">
        <x:v>2026-08-22T00:00:00.000Z</x:v>
      </x:c>
      <x:c r="B238" s="2" t="n">
        <x:v>2026</x:v>
      </x:c>
      <x:c r="C238" s="2" t="n">
        <x:v>8</x:v>
      </x:c>
      <x:c r="D238" s="2" t="str">
        <x:v>Aug</x:v>
      </x:c>
      <x:c r="E238" s="2" t="str">
        <x:v>2026-08</x:v>
      </x:c>
      <x:c r="F238" s="2" t="n">
        <x:v>202608</x:v>
      </x:c>
    </x:row>
    <x:row r="239" ht="23" customHeight="1">
      <x:c r="A239" s="10" t="d">
        <x:v>2026-08-23T00:00:00.000Z</x:v>
      </x:c>
      <x:c r="B239" s="2" t="n">
        <x:v>2026</x:v>
      </x:c>
      <x:c r="C239" s="2" t="n">
        <x:v>8</x:v>
      </x:c>
      <x:c r="D239" s="2" t="str">
        <x:v>Aug</x:v>
      </x:c>
      <x:c r="E239" s="2" t="str">
        <x:v>2026-08</x:v>
      </x:c>
      <x:c r="F239" s="2" t="n">
        <x:v>202608</x:v>
      </x:c>
    </x:row>
    <x:row r="240" ht="23" customHeight="1">
      <x:c r="A240" s="10" t="d">
        <x:v>2026-08-24T00:00:00.000Z</x:v>
      </x:c>
      <x:c r="B240" s="2" t="n">
        <x:v>2026</x:v>
      </x:c>
      <x:c r="C240" s="2" t="n">
        <x:v>8</x:v>
      </x:c>
      <x:c r="D240" s="2" t="str">
        <x:v>Aug</x:v>
      </x:c>
      <x:c r="E240" s="2" t="str">
        <x:v>2026-08</x:v>
      </x:c>
      <x:c r="F240" s="2" t="n">
        <x:v>202608</x:v>
      </x:c>
    </x:row>
    <x:row r="241" ht="23" customHeight="1">
      <x:c r="A241" s="10" t="d">
        <x:v>2026-08-25T00:00:00.000Z</x:v>
      </x:c>
      <x:c r="B241" s="2" t="n">
        <x:v>2026</x:v>
      </x:c>
      <x:c r="C241" s="2" t="n">
        <x:v>8</x:v>
      </x:c>
      <x:c r="D241" s="2" t="str">
        <x:v>Aug</x:v>
      </x:c>
      <x:c r="E241" s="2" t="str">
        <x:v>2026-08</x:v>
      </x:c>
      <x:c r="F241" s="2" t="n">
        <x:v>202608</x:v>
      </x:c>
    </x:row>
    <x:row r="242" ht="23" customHeight="1">
      <x:c r="A242" s="10" t="d">
        <x:v>2026-08-26T00:00:00.000Z</x:v>
      </x:c>
      <x:c r="B242" s="2" t="n">
        <x:v>2026</x:v>
      </x:c>
      <x:c r="C242" s="2" t="n">
        <x:v>8</x:v>
      </x:c>
      <x:c r="D242" s="2" t="str">
        <x:v>Aug</x:v>
      </x:c>
      <x:c r="E242" s="2" t="str">
        <x:v>2026-08</x:v>
      </x:c>
      <x:c r="F242" s="2" t="n">
        <x:v>202608</x:v>
      </x:c>
    </x:row>
    <x:row r="243" ht="23" customHeight="1">
      <x:c r="A243" s="10" t="d">
        <x:v>2026-08-27T00:00:00.000Z</x:v>
      </x:c>
      <x:c r="B243" s="2" t="n">
        <x:v>2026</x:v>
      </x:c>
      <x:c r="C243" s="2" t="n">
        <x:v>8</x:v>
      </x:c>
      <x:c r="D243" s="2" t="str">
        <x:v>Aug</x:v>
      </x:c>
      <x:c r="E243" s="2" t="str">
        <x:v>2026-08</x:v>
      </x:c>
      <x:c r="F243" s="2" t="n">
        <x:v>202608</x:v>
      </x:c>
    </x:row>
    <x:row r="244" ht="23" customHeight="1">
      <x:c r="A244" s="10" t="d">
        <x:v>2026-08-28T00:00:00.000Z</x:v>
      </x:c>
      <x:c r="B244" s="2" t="n">
        <x:v>2026</x:v>
      </x:c>
      <x:c r="C244" s="2" t="n">
        <x:v>8</x:v>
      </x:c>
      <x:c r="D244" s="2" t="str">
        <x:v>Aug</x:v>
      </x:c>
      <x:c r="E244" s="2" t="str">
        <x:v>2026-08</x:v>
      </x:c>
      <x:c r="F244" s="2" t="n">
        <x:v>202608</x:v>
      </x:c>
    </x:row>
    <x:row r="245" ht="23" customHeight="1">
      <x:c r="A245" s="10" t="d">
        <x:v>2026-08-29T00:00:00.000Z</x:v>
      </x:c>
      <x:c r="B245" s="2" t="n">
        <x:v>2026</x:v>
      </x:c>
      <x:c r="C245" s="2" t="n">
        <x:v>8</x:v>
      </x:c>
      <x:c r="D245" s="2" t="str">
        <x:v>Aug</x:v>
      </x:c>
      <x:c r="E245" s="2" t="str">
        <x:v>2026-08</x:v>
      </x:c>
      <x:c r="F245" s="2" t="n">
        <x:v>202608</x:v>
      </x:c>
    </x:row>
    <x:row r="246" ht="23" customHeight="1">
      <x:c r="A246" s="10" t="d">
        <x:v>2026-08-30T00:00:00.000Z</x:v>
      </x:c>
      <x:c r="B246" s="2" t="n">
        <x:v>2026</x:v>
      </x:c>
      <x:c r="C246" s="2" t="n">
        <x:v>8</x:v>
      </x:c>
      <x:c r="D246" s="2" t="str">
        <x:v>Aug</x:v>
      </x:c>
      <x:c r="E246" s="2" t="str">
        <x:v>2026-08</x:v>
      </x:c>
      <x:c r="F246" s="2" t="n">
        <x:v>202608</x:v>
      </x:c>
    </x:row>
    <x:row r="247" ht="23" customHeight="1">
      <x:c r="A247" s="10" t="d">
        <x:v>2026-08-31T00:00:00.000Z</x:v>
      </x:c>
      <x:c r="B247" s="2" t="n">
        <x:v>2026</x:v>
      </x:c>
      <x:c r="C247" s="2" t="n">
        <x:v>8</x:v>
      </x:c>
      <x:c r="D247" s="2" t="str">
        <x:v>Aug</x:v>
      </x:c>
      <x:c r="E247" s="2" t="str">
        <x:v>2026-08</x:v>
      </x:c>
      <x:c r="F247" s="2" t="n">
        <x:v>202608</x:v>
      </x:c>
    </x:row>
    <x:row r="248" ht="23" customHeight="1">
      <x:c r="A248" s="10" t="d">
        <x:v>2026-09-01T00:00:00.000Z</x:v>
      </x:c>
      <x:c r="B248" s="2" t="n">
        <x:v>2026</x:v>
      </x:c>
      <x:c r="C248" s="2" t="n">
        <x:v>9</x:v>
      </x:c>
      <x:c r="D248" s="2" t="str">
        <x:v>Sep</x:v>
      </x:c>
      <x:c r="E248" s="2" t="str">
        <x:v>2026-09</x:v>
      </x:c>
      <x:c r="F248" s="2" t="n">
        <x:v>202609</x:v>
      </x:c>
    </x:row>
    <x:row r="249" ht="23" customHeight="1">
      <x:c r="A249" s="10" t="d">
        <x:v>2026-09-02T00:00:00.000Z</x:v>
      </x:c>
      <x:c r="B249" s="2" t="n">
        <x:v>2026</x:v>
      </x:c>
      <x:c r="C249" s="2" t="n">
        <x:v>9</x:v>
      </x:c>
      <x:c r="D249" s="2" t="str">
        <x:v>Sep</x:v>
      </x:c>
      <x:c r="E249" s="2" t="str">
        <x:v>2026-09</x:v>
      </x:c>
      <x:c r="F249" s="2" t="n">
        <x:v>202609</x:v>
      </x:c>
    </x:row>
    <x:row r="250" ht="23" customHeight="1">
      <x:c r="A250" s="10" t="d">
        <x:v>2026-09-03T00:00:00.000Z</x:v>
      </x:c>
      <x:c r="B250" s="2" t="n">
        <x:v>2026</x:v>
      </x:c>
      <x:c r="C250" s="2" t="n">
        <x:v>9</x:v>
      </x:c>
      <x:c r="D250" s="2" t="str">
        <x:v>Sep</x:v>
      </x:c>
      <x:c r="E250" s="2" t="str">
        <x:v>2026-09</x:v>
      </x:c>
      <x:c r="F250" s="2" t="n">
        <x:v>202609</x:v>
      </x:c>
    </x:row>
    <x:row r="251" ht="23" customHeight="1">
      <x:c r="A251" s="10" t="d">
        <x:v>2026-09-04T00:00:00.000Z</x:v>
      </x:c>
      <x:c r="B251" s="2" t="n">
        <x:v>2026</x:v>
      </x:c>
      <x:c r="C251" s="2" t="n">
        <x:v>9</x:v>
      </x:c>
      <x:c r="D251" s="2" t="str">
        <x:v>Sep</x:v>
      </x:c>
      <x:c r="E251" s="2" t="str">
        <x:v>2026-09</x:v>
      </x:c>
      <x:c r="F251" s="2" t="n">
        <x:v>202609</x:v>
      </x:c>
    </x:row>
    <x:row r="252" ht="23" customHeight="1">
      <x:c r="A252" s="10" t="d">
        <x:v>2026-09-05T00:00:00.000Z</x:v>
      </x:c>
      <x:c r="B252" s="2" t="n">
        <x:v>2026</x:v>
      </x:c>
      <x:c r="C252" s="2" t="n">
        <x:v>9</x:v>
      </x:c>
      <x:c r="D252" s="2" t="str">
        <x:v>Sep</x:v>
      </x:c>
      <x:c r="E252" s="2" t="str">
        <x:v>2026-09</x:v>
      </x:c>
      <x:c r="F252" s="2" t="n">
        <x:v>202609</x:v>
      </x:c>
    </x:row>
    <x:row r="253" ht="23" customHeight="1">
      <x:c r="A253" s="10" t="d">
        <x:v>2026-09-06T00:00:00.000Z</x:v>
      </x:c>
      <x:c r="B253" s="2" t="n">
        <x:v>2026</x:v>
      </x:c>
      <x:c r="C253" s="2" t="n">
        <x:v>9</x:v>
      </x:c>
      <x:c r="D253" s="2" t="str">
        <x:v>Sep</x:v>
      </x:c>
      <x:c r="E253" s="2" t="str">
        <x:v>2026-09</x:v>
      </x:c>
      <x:c r="F253" s="2" t="n">
        <x:v>202609</x:v>
      </x:c>
    </x:row>
    <x:row r="254" ht="23" customHeight="1">
      <x:c r="A254" s="10" t="d">
        <x:v>2026-09-07T00:00:00.000Z</x:v>
      </x:c>
      <x:c r="B254" s="2" t="n">
        <x:v>2026</x:v>
      </x:c>
      <x:c r="C254" s="2" t="n">
        <x:v>9</x:v>
      </x:c>
      <x:c r="D254" s="2" t="str">
        <x:v>Sep</x:v>
      </x:c>
      <x:c r="E254" s="2" t="str">
        <x:v>2026-09</x:v>
      </x:c>
      <x:c r="F254" s="2" t="n">
        <x:v>202609</x:v>
      </x:c>
    </x:row>
    <x:row r="255" ht="23" customHeight="1">
      <x:c r="A255" s="10" t="d">
        <x:v>2026-09-08T00:00:00.000Z</x:v>
      </x:c>
      <x:c r="B255" s="2" t="n">
        <x:v>2026</x:v>
      </x:c>
      <x:c r="C255" s="2" t="n">
        <x:v>9</x:v>
      </x:c>
      <x:c r="D255" s="2" t="str">
        <x:v>Sep</x:v>
      </x:c>
      <x:c r="E255" s="2" t="str">
        <x:v>2026-09</x:v>
      </x:c>
      <x:c r="F255" s="2" t="n">
        <x:v>202609</x:v>
      </x:c>
    </x:row>
    <x:row r="256" ht="23" customHeight="1">
      <x:c r="A256" s="10" t="d">
        <x:v>2026-09-09T00:00:00.000Z</x:v>
      </x:c>
      <x:c r="B256" s="2" t="n">
        <x:v>2026</x:v>
      </x:c>
      <x:c r="C256" s="2" t="n">
        <x:v>9</x:v>
      </x:c>
      <x:c r="D256" s="2" t="str">
        <x:v>Sep</x:v>
      </x:c>
      <x:c r="E256" s="2" t="str">
        <x:v>2026-09</x:v>
      </x:c>
      <x:c r="F256" s="2" t="n">
        <x:v>202609</x:v>
      </x:c>
    </x:row>
    <x:row r="257" ht="23" customHeight="1">
      <x:c r="A257" s="10" t="d">
        <x:v>2026-09-10T00:00:00.000Z</x:v>
      </x:c>
      <x:c r="B257" s="2" t="n">
        <x:v>2026</x:v>
      </x:c>
      <x:c r="C257" s="2" t="n">
        <x:v>9</x:v>
      </x:c>
      <x:c r="D257" s="2" t="str">
        <x:v>Sep</x:v>
      </x:c>
      <x:c r="E257" s="2" t="str">
        <x:v>2026-09</x:v>
      </x:c>
      <x:c r="F257" s="2" t="n">
        <x:v>202609</x:v>
      </x:c>
    </x:row>
    <x:row r="258" ht="23" customHeight="1">
      <x:c r="A258" s="10" t="d">
        <x:v>2026-09-11T00:00:00.000Z</x:v>
      </x:c>
      <x:c r="B258" s="2" t="n">
        <x:v>2026</x:v>
      </x:c>
      <x:c r="C258" s="2" t="n">
        <x:v>9</x:v>
      </x:c>
      <x:c r="D258" s="2" t="str">
        <x:v>Sep</x:v>
      </x:c>
      <x:c r="E258" s="2" t="str">
        <x:v>2026-09</x:v>
      </x:c>
      <x:c r="F258" s="2" t="n">
        <x:v>202609</x:v>
      </x:c>
    </x:row>
    <x:row r="259" ht="23" customHeight="1">
      <x:c r="A259" s="10" t="d">
        <x:v>2026-09-12T00:00:00.000Z</x:v>
      </x:c>
      <x:c r="B259" s="2" t="n">
        <x:v>2026</x:v>
      </x:c>
      <x:c r="C259" s="2" t="n">
        <x:v>9</x:v>
      </x:c>
      <x:c r="D259" s="2" t="str">
        <x:v>Sep</x:v>
      </x:c>
      <x:c r="E259" s="2" t="str">
        <x:v>2026-09</x:v>
      </x:c>
      <x:c r="F259" s="2" t="n">
        <x:v>202609</x:v>
      </x:c>
    </x:row>
    <x:row r="260" ht="23" customHeight="1">
      <x:c r="A260" s="10" t="d">
        <x:v>2026-09-13T00:00:00.000Z</x:v>
      </x:c>
      <x:c r="B260" s="2" t="n">
        <x:v>2026</x:v>
      </x:c>
      <x:c r="C260" s="2" t="n">
        <x:v>9</x:v>
      </x:c>
      <x:c r="D260" s="2" t="str">
        <x:v>Sep</x:v>
      </x:c>
      <x:c r="E260" s="2" t="str">
        <x:v>2026-09</x:v>
      </x:c>
      <x:c r="F260" s="2" t="n">
        <x:v>202609</x:v>
      </x:c>
    </x:row>
    <x:row r="261" ht="23" customHeight="1">
      <x:c r="A261" s="10" t="d">
        <x:v>2026-09-14T00:00:00.000Z</x:v>
      </x:c>
      <x:c r="B261" s="2" t="n">
        <x:v>2026</x:v>
      </x:c>
      <x:c r="C261" s="2" t="n">
        <x:v>9</x:v>
      </x:c>
      <x:c r="D261" s="2" t="str">
        <x:v>Sep</x:v>
      </x:c>
      <x:c r="E261" s="2" t="str">
        <x:v>2026-09</x:v>
      </x:c>
      <x:c r="F261" s="2" t="n">
        <x:v>202609</x:v>
      </x:c>
    </x:row>
    <x:row r="262" ht="23" customHeight="1">
      <x:c r="A262" s="10" t="d">
        <x:v>2026-09-15T00:00:00.000Z</x:v>
      </x:c>
      <x:c r="B262" s="2" t="n">
        <x:v>2026</x:v>
      </x:c>
      <x:c r="C262" s="2" t="n">
        <x:v>9</x:v>
      </x:c>
      <x:c r="D262" s="2" t="str">
        <x:v>Sep</x:v>
      </x:c>
      <x:c r="E262" s="2" t="str">
        <x:v>2026-09</x:v>
      </x:c>
      <x:c r="F262" s="2" t="n">
        <x:v>202609</x:v>
      </x:c>
    </x:row>
    <x:row r="263" ht="23" customHeight="1">
      <x:c r="A263" s="10" t="d">
        <x:v>2026-09-16T00:00:00.000Z</x:v>
      </x:c>
      <x:c r="B263" s="2" t="n">
        <x:v>2026</x:v>
      </x:c>
      <x:c r="C263" s="2" t="n">
        <x:v>9</x:v>
      </x:c>
      <x:c r="D263" s="2" t="str">
        <x:v>Sep</x:v>
      </x:c>
      <x:c r="E263" s="2" t="str">
        <x:v>2026-09</x:v>
      </x:c>
      <x:c r="F263" s="2" t="n">
        <x:v>202609</x:v>
      </x:c>
    </x:row>
    <x:row r="264" ht="23" customHeight="1">
      <x:c r="A264" s="10" t="d">
        <x:v>2026-09-17T00:00:00.000Z</x:v>
      </x:c>
      <x:c r="B264" s="2" t="n">
        <x:v>2026</x:v>
      </x:c>
      <x:c r="C264" s="2" t="n">
        <x:v>9</x:v>
      </x:c>
      <x:c r="D264" s="2" t="str">
        <x:v>Sep</x:v>
      </x:c>
      <x:c r="E264" s="2" t="str">
        <x:v>2026-09</x:v>
      </x:c>
      <x:c r="F264" s="2" t="n">
        <x:v>202609</x:v>
      </x:c>
    </x:row>
    <x:row r="265" ht="23" customHeight="1">
      <x:c r="A265" s="10" t="d">
        <x:v>2026-09-18T00:00:00.000Z</x:v>
      </x:c>
      <x:c r="B265" s="2" t="n">
        <x:v>2026</x:v>
      </x:c>
      <x:c r="C265" s="2" t="n">
        <x:v>9</x:v>
      </x:c>
      <x:c r="D265" s="2" t="str">
        <x:v>Sep</x:v>
      </x:c>
      <x:c r="E265" s="2" t="str">
        <x:v>2026-09</x:v>
      </x:c>
      <x:c r="F265" s="2" t="n">
        <x:v>202609</x:v>
      </x:c>
    </x:row>
    <x:row r="266" ht="23" customHeight="1">
      <x:c r="A266" s="10" t="d">
        <x:v>2026-09-19T00:00:00.000Z</x:v>
      </x:c>
      <x:c r="B266" s="2" t="n">
        <x:v>2026</x:v>
      </x:c>
      <x:c r="C266" s="2" t="n">
        <x:v>9</x:v>
      </x:c>
      <x:c r="D266" s="2" t="str">
        <x:v>Sep</x:v>
      </x:c>
      <x:c r="E266" s="2" t="str">
        <x:v>2026-09</x:v>
      </x:c>
      <x:c r="F266" s="2" t="n">
        <x:v>202609</x:v>
      </x:c>
    </x:row>
    <x:row r="267" ht="23" customHeight="1">
      <x:c r="A267" s="10" t="d">
        <x:v>2026-09-20T00:00:00.000Z</x:v>
      </x:c>
      <x:c r="B267" s="2" t="n">
        <x:v>2026</x:v>
      </x:c>
      <x:c r="C267" s="2" t="n">
        <x:v>9</x:v>
      </x:c>
      <x:c r="D267" s="2" t="str">
        <x:v>Sep</x:v>
      </x:c>
      <x:c r="E267" s="2" t="str">
        <x:v>2026-09</x:v>
      </x:c>
      <x:c r="F267" s="2" t="n">
        <x:v>202609</x:v>
      </x:c>
    </x:row>
    <x:row r="268" ht="23" customHeight="1">
      <x:c r="A268" s="10" t="d">
        <x:v>2026-09-21T00:00:00.000Z</x:v>
      </x:c>
      <x:c r="B268" s="2" t="n">
        <x:v>2026</x:v>
      </x:c>
      <x:c r="C268" s="2" t="n">
        <x:v>9</x:v>
      </x:c>
      <x:c r="D268" s="2" t="str">
        <x:v>Sep</x:v>
      </x:c>
      <x:c r="E268" s="2" t="str">
        <x:v>2026-09</x:v>
      </x:c>
      <x:c r="F268" s="2" t="n">
        <x:v>202609</x:v>
      </x:c>
    </x:row>
    <x:row r="269" ht="23" customHeight="1">
      <x:c r="A269" s="10" t="d">
        <x:v>2026-09-22T00:00:00.000Z</x:v>
      </x:c>
      <x:c r="B269" s="2" t="n">
        <x:v>2026</x:v>
      </x:c>
      <x:c r="C269" s="2" t="n">
        <x:v>9</x:v>
      </x:c>
      <x:c r="D269" s="2" t="str">
        <x:v>Sep</x:v>
      </x:c>
      <x:c r="E269" s="2" t="str">
        <x:v>2026-09</x:v>
      </x:c>
      <x:c r="F269" s="2" t="n">
        <x:v>202609</x:v>
      </x:c>
    </x:row>
    <x:row r="270" ht="23" customHeight="1">
      <x:c r="A270" s="10" t="d">
        <x:v>2026-09-23T00:00:00.000Z</x:v>
      </x:c>
      <x:c r="B270" s="2" t="n">
        <x:v>2026</x:v>
      </x:c>
      <x:c r="C270" s="2" t="n">
        <x:v>9</x:v>
      </x:c>
      <x:c r="D270" s="2" t="str">
        <x:v>Sep</x:v>
      </x:c>
      <x:c r="E270" s="2" t="str">
        <x:v>2026-09</x:v>
      </x:c>
      <x:c r="F270" s="2" t="n">
        <x:v>202609</x:v>
      </x:c>
    </x:row>
    <x:row r="271" ht="23" customHeight="1">
      <x:c r="A271" s="10" t="d">
        <x:v>2026-09-24T00:00:00.000Z</x:v>
      </x:c>
      <x:c r="B271" s="2" t="n">
        <x:v>2026</x:v>
      </x:c>
      <x:c r="C271" s="2" t="n">
        <x:v>9</x:v>
      </x:c>
      <x:c r="D271" s="2" t="str">
        <x:v>Sep</x:v>
      </x:c>
      <x:c r="E271" s="2" t="str">
        <x:v>2026-09</x:v>
      </x:c>
      <x:c r="F271" s="2" t="n">
        <x:v>202609</x:v>
      </x:c>
    </x:row>
    <x:row r="272" ht="23" customHeight="1">
      <x:c r="A272" s="10" t="d">
        <x:v>2026-09-25T00:00:00.000Z</x:v>
      </x:c>
      <x:c r="B272" s="2" t="n">
        <x:v>2026</x:v>
      </x:c>
      <x:c r="C272" s="2" t="n">
        <x:v>9</x:v>
      </x:c>
      <x:c r="D272" s="2" t="str">
        <x:v>Sep</x:v>
      </x:c>
      <x:c r="E272" s="2" t="str">
        <x:v>2026-09</x:v>
      </x:c>
      <x:c r="F272" s="2" t="n">
        <x:v>202609</x:v>
      </x:c>
    </x:row>
    <x:row r="273" ht="23" customHeight="1">
      <x:c r="A273" s="10" t="d">
        <x:v>2026-09-26T00:00:00.000Z</x:v>
      </x:c>
      <x:c r="B273" s="2" t="n">
        <x:v>2026</x:v>
      </x:c>
      <x:c r="C273" s="2" t="n">
        <x:v>9</x:v>
      </x:c>
      <x:c r="D273" s="2" t="str">
        <x:v>Sep</x:v>
      </x:c>
      <x:c r="E273" s="2" t="str">
        <x:v>2026-09</x:v>
      </x:c>
      <x:c r="F273" s="2" t="n">
        <x:v>202609</x:v>
      </x:c>
    </x:row>
    <x:row r="274" ht="23" customHeight="1">
      <x:c r="A274" s="10" t="d">
        <x:v>2026-09-27T00:00:00.000Z</x:v>
      </x:c>
      <x:c r="B274" s="2" t="n">
        <x:v>2026</x:v>
      </x:c>
      <x:c r="C274" s="2" t="n">
        <x:v>9</x:v>
      </x:c>
      <x:c r="D274" s="2" t="str">
        <x:v>Sep</x:v>
      </x:c>
      <x:c r="E274" s="2" t="str">
        <x:v>2026-09</x:v>
      </x:c>
      <x:c r="F274" s="2" t="n">
        <x:v>202609</x:v>
      </x:c>
    </x:row>
    <x:row r="275" ht="23" customHeight="1">
      <x:c r="A275" s="10" t="d">
        <x:v>2026-09-28T00:00:00.000Z</x:v>
      </x:c>
      <x:c r="B275" s="2" t="n">
        <x:v>2026</x:v>
      </x:c>
      <x:c r="C275" s="2" t="n">
        <x:v>9</x:v>
      </x:c>
      <x:c r="D275" s="2" t="str">
        <x:v>Sep</x:v>
      </x:c>
      <x:c r="E275" s="2" t="str">
        <x:v>2026-09</x:v>
      </x:c>
      <x:c r="F275" s="2" t="n">
        <x:v>202609</x:v>
      </x:c>
    </x:row>
    <x:row r="276" ht="23" customHeight="1">
      <x:c r="A276" s="10" t="d">
        <x:v>2026-09-29T00:00:00.000Z</x:v>
      </x:c>
      <x:c r="B276" s="2" t="n">
        <x:v>2026</x:v>
      </x:c>
      <x:c r="C276" s="2" t="n">
        <x:v>9</x:v>
      </x:c>
      <x:c r="D276" s="2" t="str">
        <x:v>Sep</x:v>
      </x:c>
      <x:c r="E276" s="2" t="str">
        <x:v>2026-09</x:v>
      </x:c>
      <x:c r="F276" s="2" t="n">
        <x:v>202609</x:v>
      </x:c>
    </x:row>
    <x:row r="277" ht="23" customHeight="1">
      <x:c r="A277" s="10" t="d">
        <x:v>2026-09-30T00:00:00.000Z</x:v>
      </x:c>
      <x:c r="B277" s="2" t="n">
        <x:v>2026</x:v>
      </x:c>
      <x:c r="C277" s="2" t="n">
        <x:v>9</x:v>
      </x:c>
      <x:c r="D277" s="2" t="str">
        <x:v>Sep</x:v>
      </x:c>
      <x:c r="E277" s="2" t="str">
        <x:v>2026-09</x:v>
      </x:c>
      <x:c r="F277" s="2" t="n">
        <x:v>202609</x:v>
      </x:c>
    </x:row>
    <x:row r="278" ht="23" customHeight="1">
      <x:c r="A278" s="10" t="d">
        <x:v>2026-10-01T00:00:00.000Z</x:v>
      </x:c>
      <x:c r="B278" s="2" t="n">
        <x:v>2026</x:v>
      </x:c>
      <x:c r="C278" s="2" t="n">
        <x:v>10</x:v>
      </x:c>
      <x:c r="D278" s="2" t="str">
        <x:v>Oct</x:v>
      </x:c>
      <x:c r="E278" s="2" t="str">
        <x:v>2026-10</x:v>
      </x:c>
      <x:c r="F278" s="2" t="n">
        <x:v>202610</x:v>
      </x:c>
    </x:row>
    <x:row r="279" ht="23" customHeight="1">
      <x:c r="A279" s="10" t="d">
        <x:v>2026-10-02T00:00:00.000Z</x:v>
      </x:c>
      <x:c r="B279" s="2" t="n">
        <x:v>2026</x:v>
      </x:c>
      <x:c r="C279" s="2" t="n">
        <x:v>10</x:v>
      </x:c>
      <x:c r="D279" s="2" t="str">
        <x:v>Oct</x:v>
      </x:c>
      <x:c r="E279" s="2" t="str">
        <x:v>2026-10</x:v>
      </x:c>
      <x:c r="F279" s="2" t="n">
        <x:v>202610</x:v>
      </x:c>
    </x:row>
    <x:row r="280" ht="23" customHeight="1">
      <x:c r="A280" s="10" t="d">
        <x:v>2026-10-03T00:00:00.000Z</x:v>
      </x:c>
      <x:c r="B280" s="2" t="n">
        <x:v>2026</x:v>
      </x:c>
      <x:c r="C280" s="2" t="n">
        <x:v>10</x:v>
      </x:c>
      <x:c r="D280" s="2" t="str">
        <x:v>Oct</x:v>
      </x:c>
      <x:c r="E280" s="2" t="str">
        <x:v>2026-10</x:v>
      </x:c>
      <x:c r="F280" s="2" t="n">
        <x:v>202610</x:v>
      </x:c>
    </x:row>
    <x:row r="281" ht="23" customHeight="1">
      <x:c r="A281" s="10" t="d">
        <x:v>2026-10-04T00:00:00.000Z</x:v>
      </x:c>
      <x:c r="B281" s="2" t="n">
        <x:v>2026</x:v>
      </x:c>
      <x:c r="C281" s="2" t="n">
        <x:v>10</x:v>
      </x:c>
      <x:c r="D281" s="2" t="str">
        <x:v>Oct</x:v>
      </x:c>
      <x:c r="E281" s="2" t="str">
        <x:v>2026-10</x:v>
      </x:c>
      <x:c r="F281" s="2" t="n">
        <x:v>202610</x:v>
      </x:c>
    </x:row>
    <x:row r="282" ht="23" customHeight="1">
      <x:c r="A282" s="10" t="d">
        <x:v>2026-10-05T00:00:00.000Z</x:v>
      </x:c>
      <x:c r="B282" s="2" t="n">
        <x:v>2026</x:v>
      </x:c>
      <x:c r="C282" s="2" t="n">
        <x:v>10</x:v>
      </x:c>
      <x:c r="D282" s="2" t="str">
        <x:v>Oct</x:v>
      </x:c>
      <x:c r="E282" s="2" t="str">
        <x:v>2026-10</x:v>
      </x:c>
      <x:c r="F282" s="2" t="n">
        <x:v>202610</x:v>
      </x:c>
    </x:row>
    <x:row r="283" ht="23" customHeight="1">
      <x:c r="A283" s="10" t="d">
        <x:v>2026-10-06T00:00:00.000Z</x:v>
      </x:c>
      <x:c r="B283" s="2" t="n">
        <x:v>2026</x:v>
      </x:c>
      <x:c r="C283" s="2" t="n">
        <x:v>10</x:v>
      </x:c>
      <x:c r="D283" s="2" t="str">
        <x:v>Oct</x:v>
      </x:c>
      <x:c r="E283" s="2" t="str">
        <x:v>2026-10</x:v>
      </x:c>
      <x:c r="F283" s="2" t="n">
        <x:v>202610</x:v>
      </x:c>
    </x:row>
    <x:row r="284" ht="23" customHeight="1">
      <x:c r="A284" s="10" t="d">
        <x:v>2026-10-07T00:00:00.000Z</x:v>
      </x:c>
      <x:c r="B284" s="2" t="n">
        <x:v>2026</x:v>
      </x:c>
      <x:c r="C284" s="2" t="n">
        <x:v>10</x:v>
      </x:c>
      <x:c r="D284" s="2" t="str">
        <x:v>Oct</x:v>
      </x:c>
      <x:c r="E284" s="2" t="str">
        <x:v>2026-10</x:v>
      </x:c>
      <x:c r="F284" s="2" t="n">
        <x:v>202610</x:v>
      </x:c>
    </x:row>
    <x:row r="285" ht="23" customHeight="1">
      <x:c r="A285" s="10" t="d">
        <x:v>2026-10-08T00:00:00.000Z</x:v>
      </x:c>
      <x:c r="B285" s="2" t="n">
        <x:v>2026</x:v>
      </x:c>
      <x:c r="C285" s="2" t="n">
        <x:v>10</x:v>
      </x:c>
      <x:c r="D285" s="2" t="str">
        <x:v>Oct</x:v>
      </x:c>
      <x:c r="E285" s="2" t="str">
        <x:v>2026-10</x:v>
      </x:c>
      <x:c r="F285" s="2" t="n">
        <x:v>202610</x:v>
      </x:c>
    </x:row>
    <x:row r="286" ht="23" customHeight="1">
      <x:c r="A286" s="10" t="d">
        <x:v>2026-10-09T00:00:00.000Z</x:v>
      </x:c>
      <x:c r="B286" s="2" t="n">
        <x:v>2026</x:v>
      </x:c>
      <x:c r="C286" s="2" t="n">
        <x:v>10</x:v>
      </x:c>
      <x:c r="D286" s="2" t="str">
        <x:v>Oct</x:v>
      </x:c>
      <x:c r="E286" s="2" t="str">
        <x:v>2026-10</x:v>
      </x:c>
      <x:c r="F286" s="2" t="n">
        <x:v>202610</x:v>
      </x:c>
    </x:row>
    <x:row r="287" ht="23" customHeight="1">
      <x:c r="A287" s="10" t="d">
        <x:v>2026-10-10T00:00:00.000Z</x:v>
      </x:c>
      <x:c r="B287" s="2" t="n">
        <x:v>2026</x:v>
      </x:c>
      <x:c r="C287" s="2" t="n">
        <x:v>10</x:v>
      </x:c>
      <x:c r="D287" s="2" t="str">
        <x:v>Oct</x:v>
      </x:c>
      <x:c r="E287" s="2" t="str">
        <x:v>2026-10</x:v>
      </x:c>
      <x:c r="F287" s="2" t="n">
        <x:v>202610</x:v>
      </x:c>
    </x:row>
    <x:row r="288" ht="23" customHeight="1">
      <x:c r="A288" s="10" t="d">
        <x:v>2026-10-11T00:00:00.000Z</x:v>
      </x:c>
      <x:c r="B288" s="2" t="n">
        <x:v>2026</x:v>
      </x:c>
      <x:c r="C288" s="2" t="n">
        <x:v>10</x:v>
      </x:c>
      <x:c r="D288" s="2" t="str">
        <x:v>Oct</x:v>
      </x:c>
      <x:c r="E288" s="2" t="str">
        <x:v>2026-10</x:v>
      </x:c>
      <x:c r="F288" s="2" t="n">
        <x:v>202610</x:v>
      </x:c>
    </x:row>
    <x:row r="289" ht="23" customHeight="1">
      <x:c r="A289" s="10" t="d">
        <x:v>2026-10-12T00:00:00.000Z</x:v>
      </x:c>
      <x:c r="B289" s="2" t="n">
        <x:v>2026</x:v>
      </x:c>
      <x:c r="C289" s="2" t="n">
        <x:v>10</x:v>
      </x:c>
      <x:c r="D289" s="2" t="str">
        <x:v>Oct</x:v>
      </x:c>
      <x:c r="E289" s="2" t="str">
        <x:v>2026-10</x:v>
      </x:c>
      <x:c r="F289" s="2" t="n">
        <x:v>202610</x:v>
      </x:c>
    </x:row>
    <x:row r="290" ht="23" customHeight="1">
      <x:c r="A290" s="10" t="d">
        <x:v>2026-10-13T00:00:00.000Z</x:v>
      </x:c>
      <x:c r="B290" s="2" t="n">
        <x:v>2026</x:v>
      </x:c>
      <x:c r="C290" s="2" t="n">
        <x:v>10</x:v>
      </x:c>
      <x:c r="D290" s="2" t="str">
        <x:v>Oct</x:v>
      </x:c>
      <x:c r="E290" s="2" t="str">
        <x:v>2026-10</x:v>
      </x:c>
      <x:c r="F290" s="2" t="n">
        <x:v>202610</x:v>
      </x:c>
    </x:row>
    <x:row r="291" ht="23" customHeight="1">
      <x:c r="A291" s="10" t="d">
        <x:v>2026-10-14T00:00:00.000Z</x:v>
      </x:c>
      <x:c r="B291" s="2" t="n">
        <x:v>2026</x:v>
      </x:c>
      <x:c r="C291" s="2" t="n">
        <x:v>10</x:v>
      </x:c>
      <x:c r="D291" s="2" t="str">
        <x:v>Oct</x:v>
      </x:c>
      <x:c r="E291" s="2" t="str">
        <x:v>2026-10</x:v>
      </x:c>
      <x:c r="F291" s="2" t="n">
        <x:v>202610</x:v>
      </x:c>
    </x:row>
    <x:row r="292" ht="23" customHeight="1">
      <x:c r="A292" s="10" t="d">
        <x:v>2026-10-15T00:00:00.000Z</x:v>
      </x:c>
      <x:c r="B292" s="2" t="n">
        <x:v>2026</x:v>
      </x:c>
      <x:c r="C292" s="2" t="n">
        <x:v>10</x:v>
      </x:c>
      <x:c r="D292" s="2" t="str">
        <x:v>Oct</x:v>
      </x:c>
      <x:c r="E292" s="2" t="str">
        <x:v>2026-10</x:v>
      </x:c>
      <x:c r="F292" s="2" t="n">
        <x:v>202610</x:v>
      </x:c>
    </x:row>
    <x:row r="293" ht="23" customHeight="1">
      <x:c r="A293" s="10" t="d">
        <x:v>2026-10-16T00:00:00.000Z</x:v>
      </x:c>
      <x:c r="B293" s="2" t="n">
        <x:v>2026</x:v>
      </x:c>
      <x:c r="C293" s="2" t="n">
        <x:v>10</x:v>
      </x:c>
      <x:c r="D293" s="2" t="str">
        <x:v>Oct</x:v>
      </x:c>
      <x:c r="E293" s="2" t="str">
        <x:v>2026-10</x:v>
      </x:c>
      <x:c r="F293" s="2" t="n">
        <x:v>202610</x:v>
      </x:c>
    </x:row>
    <x:row r="294" ht="23" customHeight="1">
      <x:c r="A294" s="10" t="d">
        <x:v>2026-10-17T00:00:00.000Z</x:v>
      </x:c>
      <x:c r="B294" s="2" t="n">
        <x:v>2026</x:v>
      </x:c>
      <x:c r="C294" s="2" t="n">
        <x:v>10</x:v>
      </x:c>
      <x:c r="D294" s="2" t="str">
        <x:v>Oct</x:v>
      </x:c>
      <x:c r="E294" s="2" t="str">
        <x:v>2026-10</x:v>
      </x:c>
      <x:c r="F294" s="2" t="n">
        <x:v>202610</x:v>
      </x:c>
    </x:row>
    <x:row r="295" ht="23" customHeight="1">
      <x:c r="A295" s="10" t="d">
        <x:v>2026-10-18T00:00:00.000Z</x:v>
      </x:c>
      <x:c r="B295" s="2" t="n">
        <x:v>2026</x:v>
      </x:c>
      <x:c r="C295" s="2" t="n">
        <x:v>10</x:v>
      </x:c>
      <x:c r="D295" s="2" t="str">
        <x:v>Oct</x:v>
      </x:c>
      <x:c r="E295" s="2" t="str">
        <x:v>2026-10</x:v>
      </x:c>
      <x:c r="F295" s="2" t="n">
        <x:v>202610</x:v>
      </x:c>
    </x:row>
    <x:row r="296" ht="23" customHeight="1">
      <x:c r="A296" s="10" t="d">
        <x:v>2026-10-19T00:00:00.000Z</x:v>
      </x:c>
      <x:c r="B296" s="2" t="n">
        <x:v>2026</x:v>
      </x:c>
      <x:c r="C296" s="2" t="n">
        <x:v>10</x:v>
      </x:c>
      <x:c r="D296" s="2" t="str">
        <x:v>Oct</x:v>
      </x:c>
      <x:c r="E296" s="2" t="str">
        <x:v>2026-10</x:v>
      </x:c>
      <x:c r="F296" s="2" t="n">
        <x:v>202610</x:v>
      </x:c>
    </x:row>
    <x:row r="297" ht="23" customHeight="1">
      <x:c r="A297" s="10" t="d">
        <x:v>2026-10-20T00:00:00.000Z</x:v>
      </x:c>
      <x:c r="B297" s="2" t="n">
        <x:v>2026</x:v>
      </x:c>
      <x:c r="C297" s="2" t="n">
        <x:v>10</x:v>
      </x:c>
      <x:c r="D297" s="2" t="str">
        <x:v>Oct</x:v>
      </x:c>
      <x:c r="E297" s="2" t="str">
        <x:v>2026-10</x:v>
      </x:c>
      <x:c r="F297" s="2" t="n">
        <x:v>202610</x:v>
      </x:c>
    </x:row>
    <x:row r="298" ht="23" customHeight="1">
      <x:c r="A298" s="10" t="d">
        <x:v>2026-10-21T00:00:00.000Z</x:v>
      </x:c>
      <x:c r="B298" s="2" t="n">
        <x:v>2026</x:v>
      </x:c>
      <x:c r="C298" s="2" t="n">
        <x:v>10</x:v>
      </x:c>
      <x:c r="D298" s="2" t="str">
        <x:v>Oct</x:v>
      </x:c>
      <x:c r="E298" s="2" t="str">
        <x:v>2026-10</x:v>
      </x:c>
      <x:c r="F298" s="2" t="n">
        <x:v>202610</x:v>
      </x:c>
    </x:row>
    <x:row r="299" ht="23" customHeight="1">
      <x:c r="A299" s="10" t="d">
        <x:v>2026-10-22T00:00:00.000Z</x:v>
      </x:c>
      <x:c r="B299" s="2" t="n">
        <x:v>2026</x:v>
      </x:c>
      <x:c r="C299" s="2" t="n">
        <x:v>10</x:v>
      </x:c>
      <x:c r="D299" s="2" t="str">
        <x:v>Oct</x:v>
      </x:c>
      <x:c r="E299" s="2" t="str">
        <x:v>2026-10</x:v>
      </x:c>
      <x:c r="F299" s="2" t="n">
        <x:v>202610</x:v>
      </x:c>
    </x:row>
    <x:row r="300" ht="23" customHeight="1">
      <x:c r="A300" s="10" t="d">
        <x:v>2026-10-23T00:00:00.000Z</x:v>
      </x:c>
      <x:c r="B300" s="2" t="n">
        <x:v>2026</x:v>
      </x:c>
      <x:c r="C300" s="2" t="n">
        <x:v>10</x:v>
      </x:c>
      <x:c r="D300" s="2" t="str">
        <x:v>Oct</x:v>
      </x:c>
      <x:c r="E300" s="2" t="str">
        <x:v>2026-10</x:v>
      </x:c>
      <x:c r="F300" s="2" t="n">
        <x:v>202610</x:v>
      </x:c>
    </x:row>
    <x:row r="301" ht="23" customHeight="1">
      <x:c r="A301" s="10" t="d">
        <x:v>2026-10-24T00:00:00.000Z</x:v>
      </x:c>
      <x:c r="B301" s="2" t="n">
        <x:v>2026</x:v>
      </x:c>
      <x:c r="C301" s="2" t="n">
        <x:v>10</x:v>
      </x:c>
      <x:c r="D301" s="2" t="str">
        <x:v>Oct</x:v>
      </x:c>
      <x:c r="E301" s="2" t="str">
        <x:v>2026-10</x:v>
      </x:c>
      <x:c r="F301" s="2" t="n">
        <x:v>202610</x:v>
      </x:c>
    </x:row>
    <x:row r="302" ht="23" customHeight="1">
      <x:c r="A302" s="10" t="d">
        <x:v>2026-10-25T00:00:00.000Z</x:v>
      </x:c>
      <x:c r="B302" s="2" t="n">
        <x:v>2026</x:v>
      </x:c>
      <x:c r="C302" s="2" t="n">
        <x:v>10</x:v>
      </x:c>
      <x:c r="D302" s="2" t="str">
        <x:v>Oct</x:v>
      </x:c>
      <x:c r="E302" s="2" t="str">
        <x:v>2026-10</x:v>
      </x:c>
      <x:c r="F302" s="2" t="n">
        <x:v>202610</x:v>
      </x:c>
    </x:row>
    <x:row r="303" ht="23" customHeight="1">
      <x:c r="A303" s="10" t="d">
        <x:v>2026-10-26T00:00:00.000Z</x:v>
      </x:c>
      <x:c r="B303" s="2" t="n">
        <x:v>2026</x:v>
      </x:c>
      <x:c r="C303" s="2" t="n">
        <x:v>10</x:v>
      </x:c>
      <x:c r="D303" s="2" t="str">
        <x:v>Oct</x:v>
      </x:c>
      <x:c r="E303" s="2" t="str">
        <x:v>2026-10</x:v>
      </x:c>
      <x:c r="F303" s="2" t="n">
        <x:v>202610</x:v>
      </x:c>
    </x:row>
    <x:row r="304" ht="23" customHeight="1">
      <x:c r="A304" s="10" t="d">
        <x:v>2026-10-27T00:00:00.000Z</x:v>
      </x:c>
      <x:c r="B304" s="2" t="n">
        <x:v>2026</x:v>
      </x:c>
      <x:c r="C304" s="2" t="n">
        <x:v>10</x:v>
      </x:c>
      <x:c r="D304" s="2" t="str">
        <x:v>Oct</x:v>
      </x:c>
      <x:c r="E304" s="2" t="str">
        <x:v>2026-10</x:v>
      </x:c>
      <x:c r="F304" s="2" t="n">
        <x:v>202610</x:v>
      </x:c>
    </x:row>
    <x:row r="305" ht="23" customHeight="1">
      <x:c r="A305" s="10" t="d">
        <x:v>2026-10-28T00:00:00.000Z</x:v>
      </x:c>
      <x:c r="B305" s="2" t="n">
        <x:v>2026</x:v>
      </x:c>
      <x:c r="C305" s="2" t="n">
        <x:v>10</x:v>
      </x:c>
      <x:c r="D305" s="2" t="str">
        <x:v>Oct</x:v>
      </x:c>
      <x:c r="E305" s="2" t="str">
        <x:v>2026-10</x:v>
      </x:c>
      <x:c r="F305" s="2" t="n">
        <x:v>202610</x:v>
      </x:c>
    </x:row>
    <x:row r="306" ht="23" customHeight="1">
      <x:c r="A306" s="10" t="d">
        <x:v>2026-10-29T00:00:00.000Z</x:v>
      </x:c>
      <x:c r="B306" s="2" t="n">
        <x:v>2026</x:v>
      </x:c>
      <x:c r="C306" s="2" t="n">
        <x:v>10</x:v>
      </x:c>
      <x:c r="D306" s="2" t="str">
        <x:v>Oct</x:v>
      </x:c>
      <x:c r="E306" s="2" t="str">
        <x:v>2026-10</x:v>
      </x:c>
      <x:c r="F306" s="2" t="n">
        <x:v>202610</x:v>
      </x:c>
    </x:row>
    <x:row r="307" ht="23" customHeight="1">
      <x:c r="A307" s="10" t="d">
        <x:v>2026-10-30T00:00:00.000Z</x:v>
      </x:c>
      <x:c r="B307" s="2" t="n">
        <x:v>2026</x:v>
      </x:c>
      <x:c r="C307" s="2" t="n">
        <x:v>10</x:v>
      </x:c>
      <x:c r="D307" s="2" t="str">
        <x:v>Oct</x:v>
      </x:c>
      <x:c r="E307" s="2" t="str">
        <x:v>2026-10</x:v>
      </x:c>
      <x:c r="F307" s="2" t="n">
        <x:v>202610</x:v>
      </x:c>
    </x:row>
    <x:row r="308" ht="23" customHeight="1">
      <x:c r="A308" s="10" t="d">
        <x:v>2026-10-31T00:00:00.000Z</x:v>
      </x:c>
      <x:c r="B308" s="2" t="n">
        <x:v>2026</x:v>
      </x:c>
      <x:c r="C308" s="2" t="n">
        <x:v>10</x:v>
      </x:c>
      <x:c r="D308" s="2" t="str">
        <x:v>Oct</x:v>
      </x:c>
      <x:c r="E308" s="2" t="str">
        <x:v>2026-10</x:v>
      </x:c>
      <x:c r="F308" s="2" t="n">
        <x:v>202610</x:v>
      </x:c>
    </x:row>
    <x:row r="309" ht="23" customHeight="1">
      <x:c r="A309" s="10" t="d">
        <x:v>2026-11-01T00:00:00.000Z</x:v>
      </x:c>
      <x:c r="B309" s="2" t="n">
        <x:v>2026</x:v>
      </x:c>
      <x:c r="C309" s="2" t="n">
        <x:v>11</x:v>
      </x:c>
      <x:c r="D309" s="2" t="str">
        <x:v>Nov</x:v>
      </x:c>
      <x:c r="E309" s="2" t="str">
        <x:v>2026-11</x:v>
      </x:c>
      <x:c r="F309" s="2" t="n">
        <x:v>202611</x:v>
      </x:c>
    </x:row>
    <x:row r="310" ht="23" customHeight="1">
      <x:c r="A310" s="10" t="d">
        <x:v>2026-11-02T00:00:00.000Z</x:v>
      </x:c>
      <x:c r="B310" s="2" t="n">
        <x:v>2026</x:v>
      </x:c>
      <x:c r="C310" s="2" t="n">
        <x:v>11</x:v>
      </x:c>
      <x:c r="D310" s="2" t="str">
        <x:v>Nov</x:v>
      </x:c>
      <x:c r="E310" s="2" t="str">
        <x:v>2026-11</x:v>
      </x:c>
      <x:c r="F310" s="2" t="n">
        <x:v>202611</x:v>
      </x:c>
    </x:row>
    <x:row r="311" ht="23" customHeight="1">
      <x:c r="A311" s="10" t="d">
        <x:v>2026-11-03T00:00:00.000Z</x:v>
      </x:c>
      <x:c r="B311" s="2" t="n">
        <x:v>2026</x:v>
      </x:c>
      <x:c r="C311" s="2" t="n">
        <x:v>11</x:v>
      </x:c>
      <x:c r="D311" s="2" t="str">
        <x:v>Nov</x:v>
      </x:c>
      <x:c r="E311" s="2" t="str">
        <x:v>2026-11</x:v>
      </x:c>
      <x:c r="F311" s="2" t="n">
        <x:v>202611</x:v>
      </x:c>
    </x:row>
    <x:row r="312" ht="23" customHeight="1">
      <x:c r="A312" s="10" t="d">
        <x:v>2026-11-04T00:00:00.000Z</x:v>
      </x:c>
      <x:c r="B312" s="2" t="n">
        <x:v>2026</x:v>
      </x:c>
      <x:c r="C312" s="2" t="n">
        <x:v>11</x:v>
      </x:c>
      <x:c r="D312" s="2" t="str">
        <x:v>Nov</x:v>
      </x:c>
      <x:c r="E312" s="2" t="str">
        <x:v>2026-11</x:v>
      </x:c>
      <x:c r="F312" s="2" t="n">
        <x:v>202611</x:v>
      </x:c>
    </x:row>
    <x:row r="313" ht="23" customHeight="1">
      <x:c r="A313" s="10" t="d">
        <x:v>2026-11-05T00:00:00.000Z</x:v>
      </x:c>
      <x:c r="B313" s="2" t="n">
        <x:v>2026</x:v>
      </x:c>
      <x:c r="C313" s="2" t="n">
        <x:v>11</x:v>
      </x:c>
      <x:c r="D313" s="2" t="str">
        <x:v>Nov</x:v>
      </x:c>
      <x:c r="E313" s="2" t="str">
        <x:v>2026-11</x:v>
      </x:c>
      <x:c r="F313" s="2" t="n">
        <x:v>202611</x:v>
      </x:c>
    </x:row>
    <x:row r="314" ht="23" customHeight="1">
      <x:c r="A314" s="10" t="d">
        <x:v>2026-11-06T00:00:00.000Z</x:v>
      </x:c>
      <x:c r="B314" s="2" t="n">
        <x:v>2026</x:v>
      </x:c>
      <x:c r="C314" s="2" t="n">
        <x:v>11</x:v>
      </x:c>
      <x:c r="D314" s="2" t="str">
        <x:v>Nov</x:v>
      </x:c>
      <x:c r="E314" s="2" t="str">
        <x:v>2026-11</x:v>
      </x:c>
      <x:c r="F314" s="2" t="n">
        <x:v>202611</x:v>
      </x:c>
    </x:row>
    <x:row r="315" ht="23" customHeight="1">
      <x:c r="A315" s="10" t="d">
        <x:v>2026-11-07T00:00:00.000Z</x:v>
      </x:c>
      <x:c r="B315" s="2" t="n">
        <x:v>2026</x:v>
      </x:c>
      <x:c r="C315" s="2" t="n">
        <x:v>11</x:v>
      </x:c>
      <x:c r="D315" s="2" t="str">
        <x:v>Nov</x:v>
      </x:c>
      <x:c r="E315" s="2" t="str">
        <x:v>2026-11</x:v>
      </x:c>
      <x:c r="F315" s="2" t="n">
        <x:v>202611</x:v>
      </x:c>
    </x:row>
    <x:row r="316" ht="23" customHeight="1">
      <x:c r="A316" s="10" t="d">
        <x:v>2026-11-08T00:00:00.000Z</x:v>
      </x:c>
      <x:c r="B316" s="2" t="n">
        <x:v>2026</x:v>
      </x:c>
      <x:c r="C316" s="2" t="n">
        <x:v>11</x:v>
      </x:c>
      <x:c r="D316" s="2" t="str">
        <x:v>Nov</x:v>
      </x:c>
      <x:c r="E316" s="2" t="str">
        <x:v>2026-11</x:v>
      </x:c>
      <x:c r="F316" s="2" t="n">
        <x:v>202611</x:v>
      </x:c>
    </x:row>
    <x:row r="317" ht="23" customHeight="1">
      <x:c r="A317" s="10" t="d">
        <x:v>2026-11-09T00:00:00.000Z</x:v>
      </x:c>
      <x:c r="B317" s="2" t="n">
        <x:v>2026</x:v>
      </x:c>
      <x:c r="C317" s="2" t="n">
        <x:v>11</x:v>
      </x:c>
      <x:c r="D317" s="2" t="str">
        <x:v>Nov</x:v>
      </x:c>
      <x:c r="E317" s="2" t="str">
        <x:v>2026-11</x:v>
      </x:c>
      <x:c r="F317" s="2" t="n">
        <x:v>202611</x:v>
      </x:c>
    </x:row>
    <x:row r="318" ht="23" customHeight="1">
      <x:c r="A318" s="10" t="d">
        <x:v>2026-11-10T00:00:00.000Z</x:v>
      </x:c>
      <x:c r="B318" s="2" t="n">
        <x:v>2026</x:v>
      </x:c>
      <x:c r="C318" s="2" t="n">
        <x:v>11</x:v>
      </x:c>
      <x:c r="D318" s="2" t="str">
        <x:v>Nov</x:v>
      </x:c>
      <x:c r="E318" s="2" t="str">
        <x:v>2026-11</x:v>
      </x:c>
      <x:c r="F318" s="2" t="n">
        <x:v>202611</x:v>
      </x:c>
    </x:row>
    <x:row r="319" ht="23" customHeight="1">
      <x:c r="A319" s="10" t="d">
        <x:v>2026-11-11T00:00:00.000Z</x:v>
      </x:c>
      <x:c r="B319" s="2" t="n">
        <x:v>2026</x:v>
      </x:c>
      <x:c r="C319" s="2" t="n">
        <x:v>11</x:v>
      </x:c>
      <x:c r="D319" s="2" t="str">
        <x:v>Nov</x:v>
      </x:c>
      <x:c r="E319" s="2" t="str">
        <x:v>2026-11</x:v>
      </x:c>
      <x:c r="F319" s="2" t="n">
        <x:v>202611</x:v>
      </x:c>
    </x:row>
    <x:row r="320" ht="23" customHeight="1">
      <x:c r="A320" s="10" t="d">
        <x:v>2026-11-12T00:00:00.000Z</x:v>
      </x:c>
      <x:c r="B320" s="2" t="n">
        <x:v>2026</x:v>
      </x:c>
      <x:c r="C320" s="2" t="n">
        <x:v>11</x:v>
      </x:c>
      <x:c r="D320" s="2" t="str">
        <x:v>Nov</x:v>
      </x:c>
      <x:c r="E320" s="2" t="str">
        <x:v>2026-11</x:v>
      </x:c>
      <x:c r="F320" s="2" t="n">
        <x:v>202611</x:v>
      </x:c>
    </x:row>
    <x:row r="321" ht="23" customHeight="1">
      <x:c r="A321" s="10" t="d">
        <x:v>2026-11-13T00:00:00.000Z</x:v>
      </x:c>
      <x:c r="B321" s="2" t="n">
        <x:v>2026</x:v>
      </x:c>
      <x:c r="C321" s="2" t="n">
        <x:v>11</x:v>
      </x:c>
      <x:c r="D321" s="2" t="str">
        <x:v>Nov</x:v>
      </x:c>
      <x:c r="E321" s="2" t="str">
        <x:v>2026-11</x:v>
      </x:c>
      <x:c r="F321" s="2" t="n">
        <x:v>202611</x:v>
      </x:c>
    </x:row>
    <x:row r="322" ht="23" customHeight="1">
      <x:c r="A322" s="10" t="d">
        <x:v>2026-11-14T00:00:00.000Z</x:v>
      </x:c>
      <x:c r="B322" s="2" t="n">
        <x:v>2026</x:v>
      </x:c>
      <x:c r="C322" s="2" t="n">
        <x:v>11</x:v>
      </x:c>
      <x:c r="D322" s="2" t="str">
        <x:v>Nov</x:v>
      </x:c>
      <x:c r="E322" s="2" t="str">
        <x:v>2026-11</x:v>
      </x:c>
      <x:c r="F322" s="2" t="n">
        <x:v>202611</x:v>
      </x:c>
    </x:row>
    <x:row r="323" ht="23" customHeight="1">
      <x:c r="A323" s="10" t="d">
        <x:v>2026-11-15T00:00:00.000Z</x:v>
      </x:c>
      <x:c r="B323" s="2" t="n">
        <x:v>2026</x:v>
      </x:c>
      <x:c r="C323" s="2" t="n">
        <x:v>11</x:v>
      </x:c>
      <x:c r="D323" s="2" t="str">
        <x:v>Nov</x:v>
      </x:c>
      <x:c r="E323" s="2" t="str">
        <x:v>2026-11</x:v>
      </x:c>
      <x:c r="F323" s="2" t="n">
        <x:v>202611</x:v>
      </x:c>
    </x:row>
    <x:row r="324" ht="23" customHeight="1">
      <x:c r="A324" s="10" t="d">
        <x:v>2026-11-16T00:00:00.000Z</x:v>
      </x:c>
      <x:c r="B324" s="2" t="n">
        <x:v>2026</x:v>
      </x:c>
      <x:c r="C324" s="2" t="n">
        <x:v>11</x:v>
      </x:c>
      <x:c r="D324" s="2" t="str">
        <x:v>Nov</x:v>
      </x:c>
      <x:c r="E324" s="2" t="str">
        <x:v>2026-11</x:v>
      </x:c>
      <x:c r="F324" s="2" t="n">
        <x:v>202611</x:v>
      </x:c>
    </x:row>
    <x:row r="325" ht="23" customHeight="1">
      <x:c r="A325" s="10" t="d">
        <x:v>2026-11-17T00:00:00.000Z</x:v>
      </x:c>
      <x:c r="B325" s="2" t="n">
        <x:v>2026</x:v>
      </x:c>
      <x:c r="C325" s="2" t="n">
        <x:v>11</x:v>
      </x:c>
      <x:c r="D325" s="2" t="str">
        <x:v>Nov</x:v>
      </x:c>
      <x:c r="E325" s="2" t="str">
        <x:v>2026-11</x:v>
      </x:c>
      <x:c r="F325" s="2" t="n">
        <x:v>202611</x:v>
      </x:c>
    </x:row>
    <x:row r="326" ht="23" customHeight="1">
      <x:c r="A326" s="10" t="d">
        <x:v>2026-11-18T00:00:00.000Z</x:v>
      </x:c>
      <x:c r="B326" s="2" t="n">
        <x:v>2026</x:v>
      </x:c>
      <x:c r="C326" s="2" t="n">
        <x:v>11</x:v>
      </x:c>
      <x:c r="D326" s="2" t="str">
        <x:v>Nov</x:v>
      </x:c>
      <x:c r="E326" s="2" t="str">
        <x:v>2026-11</x:v>
      </x:c>
      <x:c r="F326" s="2" t="n">
        <x:v>202611</x:v>
      </x:c>
    </x:row>
    <x:row r="327" ht="23" customHeight="1">
      <x:c r="A327" s="10" t="d">
        <x:v>2026-11-19T00:00:00.000Z</x:v>
      </x:c>
      <x:c r="B327" s="2" t="n">
        <x:v>2026</x:v>
      </x:c>
      <x:c r="C327" s="2" t="n">
        <x:v>11</x:v>
      </x:c>
      <x:c r="D327" s="2" t="str">
        <x:v>Nov</x:v>
      </x:c>
      <x:c r="E327" s="2" t="str">
        <x:v>2026-11</x:v>
      </x:c>
      <x:c r="F327" s="2" t="n">
        <x:v>202611</x:v>
      </x:c>
    </x:row>
    <x:row r="328" ht="23" customHeight="1">
      <x:c r="A328" s="10" t="d">
        <x:v>2026-11-20T00:00:00.000Z</x:v>
      </x:c>
      <x:c r="B328" s="2" t="n">
        <x:v>2026</x:v>
      </x:c>
      <x:c r="C328" s="2" t="n">
        <x:v>11</x:v>
      </x:c>
      <x:c r="D328" s="2" t="str">
        <x:v>Nov</x:v>
      </x:c>
      <x:c r="E328" s="2" t="str">
        <x:v>2026-11</x:v>
      </x:c>
      <x:c r="F328" s="2" t="n">
        <x:v>202611</x:v>
      </x:c>
    </x:row>
    <x:row r="329" ht="23" customHeight="1">
      <x:c r="A329" s="10" t="d">
        <x:v>2026-11-21T00:00:00.000Z</x:v>
      </x:c>
      <x:c r="B329" s="2" t="n">
        <x:v>2026</x:v>
      </x:c>
      <x:c r="C329" s="2" t="n">
        <x:v>11</x:v>
      </x:c>
      <x:c r="D329" s="2" t="str">
        <x:v>Nov</x:v>
      </x:c>
      <x:c r="E329" s="2" t="str">
        <x:v>2026-11</x:v>
      </x:c>
      <x:c r="F329" s="2" t="n">
        <x:v>202611</x:v>
      </x:c>
    </x:row>
    <x:row r="330" ht="23" customHeight="1">
      <x:c r="A330" s="10" t="d">
        <x:v>2026-11-22T00:00:00.000Z</x:v>
      </x:c>
      <x:c r="B330" s="2" t="n">
        <x:v>2026</x:v>
      </x:c>
      <x:c r="C330" s="2" t="n">
        <x:v>11</x:v>
      </x:c>
      <x:c r="D330" s="2" t="str">
        <x:v>Nov</x:v>
      </x:c>
      <x:c r="E330" s="2" t="str">
        <x:v>2026-11</x:v>
      </x:c>
      <x:c r="F330" s="2" t="n">
        <x:v>202611</x:v>
      </x:c>
    </x:row>
    <x:row r="331" ht="23" customHeight="1">
      <x:c r="A331" s="10" t="d">
        <x:v>2026-11-23T00:00:00.000Z</x:v>
      </x:c>
      <x:c r="B331" s="2" t="n">
        <x:v>2026</x:v>
      </x:c>
      <x:c r="C331" s="2" t="n">
        <x:v>11</x:v>
      </x:c>
      <x:c r="D331" s="2" t="str">
        <x:v>Nov</x:v>
      </x:c>
      <x:c r="E331" s="2" t="str">
        <x:v>2026-11</x:v>
      </x:c>
      <x:c r="F331" s="2" t="n">
        <x:v>202611</x:v>
      </x:c>
    </x:row>
    <x:row r="332" ht="23" customHeight="1">
      <x:c r="A332" s="10" t="d">
        <x:v>2026-11-24T00:00:00.000Z</x:v>
      </x:c>
      <x:c r="B332" s="2" t="n">
        <x:v>2026</x:v>
      </x:c>
      <x:c r="C332" s="2" t="n">
        <x:v>11</x:v>
      </x:c>
      <x:c r="D332" s="2" t="str">
        <x:v>Nov</x:v>
      </x:c>
      <x:c r="E332" s="2" t="str">
        <x:v>2026-11</x:v>
      </x:c>
      <x:c r="F332" s="2" t="n">
        <x:v>202611</x:v>
      </x:c>
    </x:row>
    <x:row r="333" ht="23" customHeight="1">
      <x:c r="A333" s="10" t="d">
        <x:v>2026-11-25T00:00:00.000Z</x:v>
      </x:c>
      <x:c r="B333" s="2" t="n">
        <x:v>2026</x:v>
      </x:c>
      <x:c r="C333" s="2" t="n">
        <x:v>11</x:v>
      </x:c>
      <x:c r="D333" s="2" t="str">
        <x:v>Nov</x:v>
      </x:c>
      <x:c r="E333" s="2" t="str">
        <x:v>2026-11</x:v>
      </x:c>
      <x:c r="F333" s="2" t="n">
        <x:v>202611</x:v>
      </x:c>
    </x:row>
    <x:row r="334" ht="23" customHeight="1">
      <x:c r="A334" s="10" t="d">
        <x:v>2026-11-26T00:00:00.000Z</x:v>
      </x:c>
      <x:c r="B334" s="2" t="n">
        <x:v>2026</x:v>
      </x:c>
      <x:c r="C334" s="2" t="n">
        <x:v>11</x:v>
      </x:c>
      <x:c r="D334" s="2" t="str">
        <x:v>Nov</x:v>
      </x:c>
      <x:c r="E334" s="2" t="str">
        <x:v>2026-11</x:v>
      </x:c>
      <x:c r="F334" s="2" t="n">
        <x:v>202611</x:v>
      </x:c>
    </x:row>
    <x:row r="335" ht="23" customHeight="1">
      <x:c r="A335" s="10" t="d">
        <x:v>2026-11-27T00:00:00.000Z</x:v>
      </x:c>
      <x:c r="B335" s="2" t="n">
        <x:v>2026</x:v>
      </x:c>
      <x:c r="C335" s="2" t="n">
        <x:v>11</x:v>
      </x:c>
      <x:c r="D335" s="2" t="str">
        <x:v>Nov</x:v>
      </x:c>
      <x:c r="E335" s="2" t="str">
        <x:v>2026-11</x:v>
      </x:c>
      <x:c r="F335" s="2" t="n">
        <x:v>202611</x:v>
      </x:c>
    </x:row>
    <x:row r="336" ht="23" customHeight="1">
      <x:c r="A336" s="10" t="d">
        <x:v>2026-11-28T00:00:00.000Z</x:v>
      </x:c>
      <x:c r="B336" s="2" t="n">
        <x:v>2026</x:v>
      </x:c>
      <x:c r="C336" s="2" t="n">
        <x:v>11</x:v>
      </x:c>
      <x:c r="D336" s="2" t="str">
        <x:v>Nov</x:v>
      </x:c>
      <x:c r="E336" s="2" t="str">
        <x:v>2026-11</x:v>
      </x:c>
      <x:c r="F336" s="2" t="n">
        <x:v>202611</x:v>
      </x:c>
    </x:row>
    <x:row r="337" ht="23" customHeight="1">
      <x:c r="A337" s="10" t="d">
        <x:v>2026-11-29T00:00:00.000Z</x:v>
      </x:c>
      <x:c r="B337" s="2" t="n">
        <x:v>2026</x:v>
      </x:c>
      <x:c r="C337" s="2" t="n">
        <x:v>11</x:v>
      </x:c>
      <x:c r="D337" s="2" t="str">
        <x:v>Nov</x:v>
      </x:c>
      <x:c r="E337" s="2" t="str">
        <x:v>2026-11</x:v>
      </x:c>
      <x:c r="F337" s="2" t="n">
        <x:v>202611</x:v>
      </x:c>
    </x:row>
    <x:row r="338" ht="23" customHeight="1">
      <x:c r="A338" s="10" t="d">
        <x:v>2026-11-30T00:00:00.000Z</x:v>
      </x:c>
      <x:c r="B338" s="2" t="n">
        <x:v>2026</x:v>
      </x:c>
      <x:c r="C338" s="2" t="n">
        <x:v>11</x:v>
      </x:c>
      <x:c r="D338" s="2" t="str">
        <x:v>Nov</x:v>
      </x:c>
      <x:c r="E338" s="2" t="str">
        <x:v>2026-11</x:v>
      </x:c>
      <x:c r="F338" s="2" t="n">
        <x:v>202611</x:v>
      </x:c>
    </x:row>
    <x:row r="339" ht="23" customHeight="1">
      <x:c r="A339" s="10" t="d">
        <x:v>2026-12-01T00:00:00.000Z</x:v>
      </x:c>
      <x:c r="B339" s="2" t="n">
        <x:v>2026</x:v>
      </x:c>
      <x:c r="C339" s="2" t="n">
        <x:v>12</x:v>
      </x:c>
      <x:c r="D339" s="2" t="str">
        <x:v>Dec</x:v>
      </x:c>
      <x:c r="E339" s="2" t="str">
        <x:v>2026-12</x:v>
      </x:c>
      <x:c r="F339" s="2" t="n">
        <x:v>202612</x:v>
      </x:c>
    </x:row>
    <x:row r="340" ht="23" customHeight="1">
      <x:c r="A340" s="10" t="d">
        <x:v>2026-12-02T00:00:00.000Z</x:v>
      </x:c>
      <x:c r="B340" s="2" t="n">
        <x:v>2026</x:v>
      </x:c>
      <x:c r="C340" s="2" t="n">
        <x:v>12</x:v>
      </x:c>
      <x:c r="D340" s="2" t="str">
        <x:v>Dec</x:v>
      </x:c>
      <x:c r="E340" s="2" t="str">
        <x:v>2026-12</x:v>
      </x:c>
      <x:c r="F340" s="2" t="n">
        <x:v>202612</x:v>
      </x:c>
    </x:row>
    <x:row r="341" ht="23" customHeight="1">
      <x:c r="A341" s="10" t="d">
        <x:v>2026-12-03T00:00:00.000Z</x:v>
      </x:c>
      <x:c r="B341" s="2" t="n">
        <x:v>2026</x:v>
      </x:c>
      <x:c r="C341" s="2" t="n">
        <x:v>12</x:v>
      </x:c>
      <x:c r="D341" s="2" t="str">
        <x:v>Dec</x:v>
      </x:c>
      <x:c r="E341" s="2" t="str">
        <x:v>2026-12</x:v>
      </x:c>
      <x:c r="F341" s="2" t="n">
        <x:v>202612</x:v>
      </x:c>
    </x:row>
    <x:row r="342" ht="23" customHeight="1">
      <x:c r="A342" s="10" t="d">
        <x:v>2026-12-04T00:00:00.000Z</x:v>
      </x:c>
      <x:c r="B342" s="2" t="n">
        <x:v>2026</x:v>
      </x:c>
      <x:c r="C342" s="2" t="n">
        <x:v>12</x:v>
      </x:c>
      <x:c r="D342" s="2" t="str">
        <x:v>Dec</x:v>
      </x:c>
      <x:c r="E342" s="2" t="str">
        <x:v>2026-12</x:v>
      </x:c>
      <x:c r="F342" s="2" t="n">
        <x:v>202612</x:v>
      </x:c>
    </x:row>
    <x:row r="343" ht="23" customHeight="1">
      <x:c r="A343" s="10" t="d">
        <x:v>2026-12-05T00:00:00.000Z</x:v>
      </x:c>
      <x:c r="B343" s="2" t="n">
        <x:v>2026</x:v>
      </x:c>
      <x:c r="C343" s="2" t="n">
        <x:v>12</x:v>
      </x:c>
      <x:c r="D343" s="2" t="str">
        <x:v>Dec</x:v>
      </x:c>
      <x:c r="E343" s="2" t="str">
        <x:v>2026-12</x:v>
      </x:c>
      <x:c r="F343" s="2" t="n">
        <x:v>202612</x:v>
      </x:c>
    </x:row>
    <x:row r="344" ht="23" customHeight="1">
      <x:c r="A344" s="10" t="d">
        <x:v>2026-12-06T00:00:00.000Z</x:v>
      </x:c>
      <x:c r="B344" s="2" t="n">
        <x:v>2026</x:v>
      </x:c>
      <x:c r="C344" s="2" t="n">
        <x:v>12</x:v>
      </x:c>
      <x:c r="D344" s="2" t="str">
        <x:v>Dec</x:v>
      </x:c>
      <x:c r="E344" s="2" t="str">
        <x:v>2026-12</x:v>
      </x:c>
      <x:c r="F344" s="2" t="n">
        <x:v>202612</x:v>
      </x:c>
    </x:row>
    <x:row r="345" ht="23" customHeight="1">
      <x:c r="A345" s="10" t="d">
        <x:v>2026-12-07T00:00:00.000Z</x:v>
      </x:c>
      <x:c r="B345" s="2" t="n">
        <x:v>2026</x:v>
      </x:c>
      <x:c r="C345" s="2" t="n">
        <x:v>12</x:v>
      </x:c>
      <x:c r="D345" s="2" t="str">
        <x:v>Dec</x:v>
      </x:c>
      <x:c r="E345" s="2" t="str">
        <x:v>2026-12</x:v>
      </x:c>
      <x:c r="F345" s="2" t="n">
        <x:v>202612</x:v>
      </x:c>
    </x:row>
    <x:row r="346" ht="23" customHeight="1">
      <x:c r="A346" s="10" t="d">
        <x:v>2026-12-08T00:00:00.000Z</x:v>
      </x:c>
      <x:c r="B346" s="2" t="n">
        <x:v>2026</x:v>
      </x:c>
      <x:c r="C346" s="2" t="n">
        <x:v>12</x:v>
      </x:c>
      <x:c r="D346" s="2" t="str">
        <x:v>Dec</x:v>
      </x:c>
      <x:c r="E346" s="2" t="str">
        <x:v>2026-12</x:v>
      </x:c>
      <x:c r="F346" s="2" t="n">
        <x:v>202612</x:v>
      </x:c>
    </x:row>
    <x:row r="347" ht="23" customHeight="1">
      <x:c r="A347" s="10" t="d">
        <x:v>2026-12-09T00:00:00.000Z</x:v>
      </x:c>
      <x:c r="B347" s="2" t="n">
        <x:v>2026</x:v>
      </x:c>
      <x:c r="C347" s="2" t="n">
        <x:v>12</x:v>
      </x:c>
      <x:c r="D347" s="2" t="str">
        <x:v>Dec</x:v>
      </x:c>
      <x:c r="E347" s="2" t="str">
        <x:v>2026-12</x:v>
      </x:c>
      <x:c r="F347" s="2" t="n">
        <x:v>202612</x:v>
      </x:c>
    </x:row>
    <x:row r="348" ht="23" customHeight="1">
      <x:c r="A348" s="10" t="d">
        <x:v>2026-12-10T00:00:00.000Z</x:v>
      </x:c>
      <x:c r="B348" s="2" t="n">
        <x:v>2026</x:v>
      </x:c>
      <x:c r="C348" s="2" t="n">
        <x:v>12</x:v>
      </x:c>
      <x:c r="D348" s="2" t="str">
        <x:v>Dec</x:v>
      </x:c>
      <x:c r="E348" s="2" t="str">
        <x:v>2026-12</x:v>
      </x:c>
      <x:c r="F348" s="2" t="n">
        <x:v>202612</x:v>
      </x:c>
    </x:row>
    <x:row r="349" ht="23" customHeight="1">
      <x:c r="A349" s="10" t="d">
        <x:v>2026-12-11T00:00:00.000Z</x:v>
      </x:c>
      <x:c r="B349" s="2" t="n">
        <x:v>2026</x:v>
      </x:c>
      <x:c r="C349" s="2" t="n">
        <x:v>12</x:v>
      </x:c>
      <x:c r="D349" s="2" t="str">
        <x:v>Dec</x:v>
      </x:c>
      <x:c r="E349" s="2" t="str">
        <x:v>2026-12</x:v>
      </x:c>
      <x:c r="F349" s="2" t="n">
        <x:v>202612</x:v>
      </x:c>
    </x:row>
    <x:row r="350" ht="23" customHeight="1">
      <x:c r="A350" s="10" t="d">
        <x:v>2026-12-12T00:00:00.000Z</x:v>
      </x:c>
      <x:c r="B350" s="2" t="n">
        <x:v>2026</x:v>
      </x:c>
      <x:c r="C350" s="2" t="n">
        <x:v>12</x:v>
      </x:c>
      <x:c r="D350" s="2" t="str">
        <x:v>Dec</x:v>
      </x:c>
      <x:c r="E350" s="2" t="str">
        <x:v>2026-12</x:v>
      </x:c>
      <x:c r="F350" s="2" t="n">
        <x:v>202612</x:v>
      </x:c>
    </x:row>
    <x:row r="351" ht="23" customHeight="1">
      <x:c r="A351" s="10" t="d">
        <x:v>2026-12-13T00:00:00.000Z</x:v>
      </x:c>
      <x:c r="B351" s="2" t="n">
        <x:v>2026</x:v>
      </x:c>
      <x:c r="C351" s="2" t="n">
        <x:v>12</x:v>
      </x:c>
      <x:c r="D351" s="2" t="str">
        <x:v>Dec</x:v>
      </x:c>
      <x:c r="E351" s="2" t="str">
        <x:v>2026-12</x:v>
      </x:c>
      <x:c r="F351" s="2" t="n">
        <x:v>202612</x:v>
      </x:c>
    </x:row>
    <x:row r="352" ht="23" customHeight="1">
      <x:c r="A352" s="10" t="d">
        <x:v>2026-12-14T00:00:00.000Z</x:v>
      </x:c>
      <x:c r="B352" s="2" t="n">
        <x:v>2026</x:v>
      </x:c>
      <x:c r="C352" s="2" t="n">
        <x:v>12</x:v>
      </x:c>
      <x:c r="D352" s="2" t="str">
        <x:v>Dec</x:v>
      </x:c>
      <x:c r="E352" s="2" t="str">
        <x:v>2026-12</x:v>
      </x:c>
      <x:c r="F352" s="2" t="n">
        <x:v>202612</x:v>
      </x:c>
    </x:row>
    <x:row r="353" ht="23" customHeight="1">
      <x:c r="A353" s="10" t="d">
        <x:v>2026-12-15T00:00:00.000Z</x:v>
      </x:c>
      <x:c r="B353" s="2" t="n">
        <x:v>2026</x:v>
      </x:c>
      <x:c r="C353" s="2" t="n">
        <x:v>12</x:v>
      </x:c>
      <x:c r="D353" s="2" t="str">
        <x:v>Dec</x:v>
      </x:c>
      <x:c r="E353" s="2" t="str">
        <x:v>2026-12</x:v>
      </x:c>
      <x:c r="F353" s="2" t="n">
        <x:v>202612</x:v>
      </x:c>
    </x:row>
    <x:row r="354" ht="23" customHeight="1">
      <x:c r="A354" s="10" t="d">
        <x:v>2026-12-16T00:00:00.000Z</x:v>
      </x:c>
      <x:c r="B354" s="2" t="n">
        <x:v>2026</x:v>
      </x:c>
      <x:c r="C354" s="2" t="n">
        <x:v>12</x:v>
      </x:c>
      <x:c r="D354" s="2" t="str">
        <x:v>Dec</x:v>
      </x:c>
      <x:c r="E354" s="2" t="str">
        <x:v>2026-12</x:v>
      </x:c>
      <x:c r="F354" s="2" t="n">
        <x:v>202612</x:v>
      </x:c>
    </x:row>
    <x:row r="355" ht="23" customHeight="1">
      <x:c r="A355" s="10" t="d">
        <x:v>2026-12-17T00:00:00.000Z</x:v>
      </x:c>
      <x:c r="B355" s="2" t="n">
        <x:v>2026</x:v>
      </x:c>
      <x:c r="C355" s="2" t="n">
        <x:v>12</x:v>
      </x:c>
      <x:c r="D355" s="2" t="str">
        <x:v>Dec</x:v>
      </x:c>
      <x:c r="E355" s="2" t="str">
        <x:v>2026-12</x:v>
      </x:c>
      <x:c r="F355" s="2" t="n">
        <x:v>202612</x:v>
      </x:c>
    </x:row>
    <x:row r="356" ht="23" customHeight="1">
      <x:c r="A356" s="10" t="d">
        <x:v>2026-12-18T00:00:00.000Z</x:v>
      </x:c>
      <x:c r="B356" s="2" t="n">
        <x:v>2026</x:v>
      </x:c>
      <x:c r="C356" s="2" t="n">
        <x:v>12</x:v>
      </x:c>
      <x:c r="D356" s="2" t="str">
        <x:v>Dec</x:v>
      </x:c>
      <x:c r="E356" s="2" t="str">
        <x:v>2026-12</x:v>
      </x:c>
      <x:c r="F356" s="2" t="n">
        <x:v>202612</x:v>
      </x:c>
    </x:row>
    <x:row r="357" ht="23" customHeight="1">
      <x:c r="A357" s="10" t="d">
        <x:v>2026-12-19T00:00:00.000Z</x:v>
      </x:c>
      <x:c r="B357" s="2" t="n">
        <x:v>2026</x:v>
      </x:c>
      <x:c r="C357" s="2" t="n">
        <x:v>12</x:v>
      </x:c>
      <x:c r="D357" s="2" t="str">
        <x:v>Dec</x:v>
      </x:c>
      <x:c r="E357" s="2" t="str">
        <x:v>2026-12</x:v>
      </x:c>
      <x:c r="F357" s="2" t="n">
        <x:v>202612</x:v>
      </x:c>
    </x:row>
    <x:row r="358" ht="23" customHeight="1">
      <x:c r="A358" s="10" t="d">
        <x:v>2026-12-20T00:00:00.000Z</x:v>
      </x:c>
      <x:c r="B358" s="2" t="n">
        <x:v>2026</x:v>
      </x:c>
      <x:c r="C358" s="2" t="n">
        <x:v>12</x:v>
      </x:c>
      <x:c r="D358" s="2" t="str">
        <x:v>Dec</x:v>
      </x:c>
      <x:c r="E358" s="2" t="str">
        <x:v>2026-12</x:v>
      </x:c>
      <x:c r="F358" s="2" t="n">
        <x:v>202612</x:v>
      </x:c>
    </x:row>
    <x:row r="359" ht="23" customHeight="1">
      <x:c r="A359" s="10" t="d">
        <x:v>2026-12-21T00:00:00.000Z</x:v>
      </x:c>
      <x:c r="B359" s="2" t="n">
        <x:v>2026</x:v>
      </x:c>
      <x:c r="C359" s="2" t="n">
        <x:v>12</x:v>
      </x:c>
      <x:c r="D359" s="2" t="str">
        <x:v>Dec</x:v>
      </x:c>
      <x:c r="E359" s="2" t="str">
        <x:v>2026-12</x:v>
      </x:c>
      <x:c r="F359" s="2" t="n">
        <x:v>202612</x:v>
      </x:c>
    </x:row>
    <x:row r="360" ht="23" customHeight="1">
      <x:c r="A360" s="10" t="d">
        <x:v>2026-12-22T00:00:00.000Z</x:v>
      </x:c>
      <x:c r="B360" s="2" t="n">
        <x:v>2026</x:v>
      </x:c>
      <x:c r="C360" s="2" t="n">
        <x:v>12</x:v>
      </x:c>
      <x:c r="D360" s="2" t="str">
        <x:v>Dec</x:v>
      </x:c>
      <x:c r="E360" s="2" t="str">
        <x:v>2026-12</x:v>
      </x:c>
      <x:c r="F360" s="2" t="n">
        <x:v>202612</x:v>
      </x:c>
    </x:row>
    <x:row r="361" ht="23" customHeight="1">
      <x:c r="A361" s="10" t="d">
        <x:v>2026-12-23T00:00:00.000Z</x:v>
      </x:c>
      <x:c r="B361" s="2" t="n">
        <x:v>2026</x:v>
      </x:c>
      <x:c r="C361" s="2" t="n">
        <x:v>12</x:v>
      </x:c>
      <x:c r="D361" s="2" t="str">
        <x:v>Dec</x:v>
      </x:c>
      <x:c r="E361" s="2" t="str">
        <x:v>2026-12</x:v>
      </x:c>
      <x:c r="F361" s="2" t="n">
        <x:v>202612</x:v>
      </x:c>
    </x:row>
    <x:row r="362" ht="23" customHeight="1">
      <x:c r="A362" s="10" t="d">
        <x:v>2026-12-24T00:00:00.000Z</x:v>
      </x:c>
      <x:c r="B362" s="2" t="n">
        <x:v>2026</x:v>
      </x:c>
      <x:c r="C362" s="2" t="n">
        <x:v>12</x:v>
      </x:c>
      <x:c r="D362" s="2" t="str">
        <x:v>Dec</x:v>
      </x:c>
      <x:c r="E362" s="2" t="str">
        <x:v>2026-12</x:v>
      </x:c>
      <x:c r="F362" s="2" t="n">
        <x:v>202612</x:v>
      </x:c>
    </x:row>
    <x:row r="363" ht="23" customHeight="1">
      <x:c r="A363" s="10" t="d">
        <x:v>2026-12-25T00:00:00.000Z</x:v>
      </x:c>
      <x:c r="B363" s="2" t="n">
        <x:v>2026</x:v>
      </x:c>
      <x:c r="C363" s="2" t="n">
        <x:v>12</x:v>
      </x:c>
      <x:c r="D363" s="2" t="str">
        <x:v>Dec</x:v>
      </x:c>
      <x:c r="E363" s="2" t="str">
        <x:v>2026-12</x:v>
      </x:c>
      <x:c r="F363" s="2" t="n">
        <x:v>202612</x:v>
      </x:c>
    </x:row>
    <x:row r="364" ht="23" customHeight="1">
      <x:c r="A364" s="10" t="d">
        <x:v>2026-12-26T00:00:00.000Z</x:v>
      </x:c>
      <x:c r="B364" s="2" t="n">
        <x:v>2026</x:v>
      </x:c>
      <x:c r="C364" s="2" t="n">
        <x:v>12</x:v>
      </x:c>
      <x:c r="D364" s="2" t="str">
        <x:v>Dec</x:v>
      </x:c>
      <x:c r="E364" s="2" t="str">
        <x:v>2026-12</x:v>
      </x:c>
      <x:c r="F364" s="2" t="n">
        <x:v>202612</x:v>
      </x:c>
    </x:row>
    <x:row r="365" ht="23" customHeight="1">
      <x:c r="A365" s="10" t="d">
        <x:v>2026-12-27T00:00:00.000Z</x:v>
      </x:c>
      <x:c r="B365" s="2" t="n">
        <x:v>2026</x:v>
      </x:c>
      <x:c r="C365" s="2" t="n">
        <x:v>12</x:v>
      </x:c>
      <x:c r="D365" s="2" t="str">
        <x:v>Dec</x:v>
      </x:c>
      <x:c r="E365" s="2" t="str">
        <x:v>2026-12</x:v>
      </x:c>
      <x:c r="F365" s="2" t="n">
        <x:v>202612</x:v>
      </x:c>
    </x:row>
    <x:row r="366" ht="23" customHeight="1">
      <x:c r="A366" s="10" t="d">
        <x:v>2026-12-28T00:00:00.000Z</x:v>
      </x:c>
      <x:c r="B366" s="2" t="n">
        <x:v>2026</x:v>
      </x:c>
      <x:c r="C366" s="2" t="n">
        <x:v>12</x:v>
      </x:c>
      <x:c r="D366" s="2" t="str">
        <x:v>Dec</x:v>
      </x:c>
      <x:c r="E366" s="2" t="str">
        <x:v>2026-12</x:v>
      </x:c>
      <x:c r="F366" s="2" t="n">
        <x:v>202612</x:v>
      </x:c>
    </x:row>
    <x:row r="367" ht="23" customHeight="1">
      <x:c r="A367" s="10" t="d">
        <x:v>2026-12-29T00:00:00.000Z</x:v>
      </x:c>
      <x:c r="B367" s="2" t="n">
        <x:v>2026</x:v>
      </x:c>
      <x:c r="C367" s="2" t="n">
        <x:v>12</x:v>
      </x:c>
      <x:c r="D367" s="2" t="str">
        <x:v>Dec</x:v>
      </x:c>
      <x:c r="E367" s="2" t="str">
        <x:v>2026-12</x:v>
      </x:c>
      <x:c r="F367" s="2" t="n">
        <x:v>202612</x:v>
      </x:c>
    </x:row>
    <x:row r="368" ht="23" customHeight="1">
      <x:c r="A368" s="10" t="d">
        <x:v>2026-12-30T00:00:00.000Z</x:v>
      </x:c>
      <x:c r="B368" s="2" t="n">
        <x:v>2026</x:v>
      </x:c>
      <x:c r="C368" s="2" t="n">
        <x:v>12</x:v>
      </x:c>
      <x:c r="D368" s="2" t="str">
        <x:v>Dec</x:v>
      </x:c>
      <x:c r="E368" s="2" t="str">
        <x:v>2026-12</x:v>
      </x:c>
      <x:c r="F368" s="2" t="n">
        <x:v>202612</x:v>
      </x:c>
    </x:row>
    <x:row r="369" ht="23" customHeight="1">
      <x:c r="A369" s="10" t="d">
        <x:v>2026-12-31T00:00:00.000Z</x:v>
      </x:c>
      <x:c r="B369" s="2" t="n">
        <x:v>2026</x:v>
      </x:c>
      <x:c r="C369" s="2" t="n">
        <x:v>12</x:v>
      </x:c>
      <x:c r="D369" s="2" t="str">
        <x:v>Dec</x:v>
      </x:c>
      <x:c r="E369" s="2" t="str">
        <x:v>2026-12</x:v>
      </x:c>
      <x:c r="F369" s="2" t="n">
        <x:v>202612</x:v>
      </x:c>
    </x:row>
  </x:sheetData>
  <x:pageMargins left="0.7" right="0.7" top="0.75" bottom="0.75" header="0.3" footer="0.3"/>
  <x:tableParts count="1">
    <x:tablePart xmlns:r="http://schemas.openxmlformats.org/officeDocument/2006/relationships" r:id="R10d42b933ac448bd"/>
  </x:tableParts>
</x:worksheet>
</file>

<file path=xl/worksheets/sheet7.xml><?xml version="1.0" encoding="utf-8"?>
<x:worksheet xmlns:x="http://schemas.openxmlformats.org/spreadsheetml/2006/main">
  <x:sheetPr>
    <x:tabColor rgb="FF7C8998"/>
  </x:sheetPr>
  <x:sheetViews>
    <x:sheetView showGridLines="0" workbookViewId="0">
      <x:pane ySplit="4" topLeftCell="A5" activePane="bottomLeft" state="frozen"/>
    </x:sheetView>
  </x:sheetViews>
  <x:sheetFormatPr defaultRowHeight="15"/>
  <x:cols>
    <x:col min="1" max="1" width="34" hidden="0" customWidth="1"/>
    <x:col min="2" max="2" width="122" hidden="0" customWidth="1"/>
  </x:cols>
  <x:sheetData>
    <x:row r="1" ht="30" customHeight="1">
      <x:c r="A1" s="3" t="str">
        <x:v>Power BI build guide</x:v>
      </x:c>
      <x:c r="B1" s="2"/>
    </x:row>
    <x:row r="2" ht="23" customHeight="1">
      <x:c r="A2" s="4" t="str">
        <x:v>Create a focused case study that a finance manager can use to prioritise collection work.</x:v>
      </x:c>
      <x:c r="B2" s="2"/>
    </x:row>
    <x:row r="3" ht="23" customHeight="1">
      <x:c r="A3" s="5"/>
      <x:c r="B3" s="5"/>
    </x:row>
    <x:row r="4" ht="34" customHeight="1">
      <x:c r="A4" s="9" t="str">
        <x:v>Item</x:v>
      </x:c>
      <x:c r="B4" s="9" t="str">
        <x:v>Instructions or DAX to copy</x:v>
      </x:c>
    </x:row>
    <x:row r="5" ht="48" customHeight="1">
      <x:c r="A5" s="20" t="str">
        <x:v>Business question</x:v>
      </x:c>
      <x:c r="B5" s="19" t="str">
        <x:v>Which customers hold the largest overdue balances, how old are those balances, and which invoices need follow-up or dispute resolution?</x:v>
      </x:c>
    </x:row>
    <x:row r="6" ht="48" customHeight="1">
      <x:c r="A6" s="21" t="str">
        <x:v>Table grain</x:v>
      </x:c>
      <x:c r="B6" s="22" t="str">
        <x:v>Customers: one row per customer. ARSnapshot: one row per invoice at 2026-09-30. Payments: one allocation per row, including partial payments. Calendar: one row per day.</x:v>
      </x:c>
    </x:row>
    <x:row r="7" ht="65" customHeight="1">
      <x:c r="A7" s="20" t="str">
        <x:v>Relationships</x:v>
      </x:c>
      <x:c r="B7" s="19" t="str">
        <x:v>Create active, single-direction one-to-many relationships: Customers[CustomerID] (1) to ARSnapshot[CustomerID] (*); Customers[CustomerID] (1) to Payments[CustomerID] (*); Calendar[Date] (1) to Payments[PaymentDate] (*). Remove other automatically detected relationships.</x:v>
      </x:c>
    </x:row>
    <x:row r="8" ht="65" customHeight="1">
      <x:c r="A8" s="21" t="str">
        <x:v>Date behavior</x:v>
      </x:c>
      <x:c r="B8" s="22" t="str">
        <x:v>Calendar intentionally does not filter ARSnapshot. This is a single fixed-date balance, not historical month-end balances. Use the Calendar slicer only for collection history and label it Collection period. Do not put a general date slicer on the aging pages.</x:v>
      </x:c>
    </x:row>
    <x:row r="9" ht="48" customHeight="1">
      <x:c r="A9" s="20" t="str">
        <x:v>Sort and format</x:v>
      </x:c>
      <x:c r="B9" s="19" t="str">
        <x:v>Mark Calendar as the date table using Calendar[Date]. Sort Calendar[MonthName] by MonthNumber, Calendar[YearMonth] by YearMonthSort, and ARSnapshot[AgingBucket] by AgingSort. Use Customers fields for customer/region slicers.</x:v>
      </x:c>
    </x:row>
    <x:row r="10" ht="36" customHeight="1">
      <x:c r="A10" s="21" t="str">
        <x:v>Outstanding AR</x:v>
      </x:c>
      <x:c r="B10" s="22" t="str">
        <x:v>Outstanding AR = SUM(ARSnapshot[OutstandingCAD])</x:v>
      </x:c>
    </x:row>
    <x:row r="11" ht="36" customHeight="1">
      <x:c r="A11" s="20" t="str">
        <x:v>Overdue AR</x:v>
      </x:c>
      <x:c r="B11" s="19" t="str">
        <x:v>Overdue AR = CALCULATE([Outstanding AR], KEEPFILTERS(ARSnapshot[DaysOverdue] &gt; 0))</x:v>
      </x:c>
    </x:row>
    <x:row r="12" ht="36" customHeight="1">
      <x:c r="A12" s="21" t="str">
        <x:v>Overdue Share</x:v>
      </x:c>
      <x:c r="B12" s="22" t="str">
        <x:v>Overdue Share = DIVIDE([Overdue AR], [Outstanding AR])</x:v>
      </x:c>
    </x:row>
    <x:row r="13" ht="36" customHeight="1">
      <x:c r="A13" s="20" t="str">
        <x:v>Open Invoices</x:v>
      </x:c>
      <x:c r="B13" s="19" t="str">
        <x:v>Open Invoices = CALCULATE(COUNTROWS(ARSnapshot), KEEPFILTERS(ARSnapshot[OutstandingCAD] &gt; 0))</x:v>
      </x:c>
    </x:row>
    <x:row r="14" ht="36" customHeight="1">
      <x:c r="A14" s="21" t="str">
        <x:v>AR Over 90 Days</x:v>
      </x:c>
      <x:c r="B14" s="22" t="str">
        <x:v>AR Over 90 Days = CALCULATE([Outstanding AR], KEEPFILTERS(ARSnapshot[DaysOverdue] &gt; 90))</x:v>
      </x:c>
    </x:row>
    <x:row r="15" ht="36" customHeight="1">
      <x:c r="A15" s="20" t="str">
        <x:v>Disputed Overdue AR</x:v>
      </x:c>
      <x:c r="B15" s="19" t="str">
        <x:v>Disputed Overdue AR = CALCULATE([Overdue AR], KEEPFILTERS(ARSnapshot[Disputed] = "Yes"))</x:v>
      </x:c>
    </x:row>
    <x:row r="16" ht="36" customHeight="1">
      <x:c r="A16" s="21" t="str">
        <x:v>Cash Collected</x:v>
      </x:c>
      <x:c r="B16" s="22" t="str">
        <x:v>Cash Collected = SUM(Payments[PaymentAmountCAD])</x:v>
      </x:c>
    </x:row>
    <x:row r="17" ht="184" customHeight="1">
      <x:c r="A17" s="20" t="str">
        <x:v>Cash Collected in Snapshot Month</x:v>
      </x:c>
      <x:c r="B17" s="19" t="str">
        <x:v>Cash Collected in Snapshot Month =
VAR SnapshotDate = MAX(ARSnapshot[AsOfDate])
RETURN
CALCULATE(
    [Cash Collected],
    FILTER(ALL('Calendar'),
        'Calendar'[Date] &gt;= DATE(YEAR(SnapshotDate), MONTH(SnapshotDate), 1)
        &amp;&amp; 'Calendar'[Date] &lt;= SnapshotDate
    )
)</x:v>
      </x:c>
    </x:row>
    <x:row r="18" ht="36" customHeight="1">
      <x:c r="A18" s="21" t="str">
        <x:v>Snapshot Date Label</x:v>
      </x:c>
      <x:c r="B18" s="22" t="str">
        <x:v>Snapshot Date Label = "Receivables as of " &amp; FORMAT(MAX(ARSnapshot[AsOfDate]), "dd mmm yyyy")</x:v>
      </x:c>
    </x:row>
    <x:row r="19" ht="82" customHeight="1">
      <x:c r="A19" s="20" t="str">
        <x:v>Page 1 Executive Overview</x:v>
      </x:c>
      <x:c r="B19" s="19" t="str">
        <x:v>Top: Snapshot Date Label and Region slicer. Cards: Outstanding AR, Overdue AR, Overdue Share, AR Over 90 Days. Bottom left: aging column chart with AgingBucket and Outstanding AR, excluding Paid. Bottom right: monthly collections line chart with Calendar[YearMonth] and Cash Collected, limited to Jan-Sep 2026. Add a note that the trend shows cash payments, while cards show the fixed snapshot.</x:v>
      </x:c>
    </x:row>
    <x:row r="20" ht="65" customHeight="1">
      <x:c r="A20" s="21" t="str">
        <x:v>Page 1 interactions</x:v>
      </x:c>
      <x:c r="B20" s="22" t="str">
        <x:v>The customer/region slicers filter both facts. Edit interactions so selecting an aging bucket does not filter the collections line chart. Use clear titles and show currency once as CAD. Use a pale background, navy text and a restrained warm color for overdue exposure.</x:v>
      </x:c>
    </x:row>
    <x:row r="21" ht="65" customHeight="1">
      <x:c r="A21" s="20" t="str">
        <x:v>Page 2 Aging and Customer Exposure</x:v>
      </x:c>
      <x:c r="B21" s="19" t="str">
        <x:v>Region and Industry slicers. Matrix: Customers[CustomerName] by ARSnapshot[AgingBucket], values Outstanding AR; filter OutstandingCAD &gt; 0. Add a Top 10 horizontal bar chart by CustomerName ranked on Overdue AR. Add a separate Disputed Overdue AR card. This is descriptive exposure, not a prediction of default.</x:v>
      </x:c>
    </x:row>
    <x:row r="22" ht="65" customHeight="1">
      <x:c r="A22" s="21" t="str">
        <x:v>Page 3 Collection Worklist</x:v>
      </x:c>
      <x:c r="B22" s="22" t="str">
        <x:v>Table: Customers[CustomerName], AccountOwner, ARSnapshot[InvoiceID], DueDate, OutstandingCAD, DaysOverdue and Disputed. Filter OutstandingCAD &gt; 0 and DaysOverdue &gt; 0. Sort outstanding descending; use DaysOverdue and Disputed as supporting context. Add Disputed and Region slicers.</x:v>
      </x:c>
    </x:row>
    <x:row r="23" ht="65" customHeight="1">
      <x:c r="A23" s="20" t="str">
        <x:v>Customer drill-through</x:v>
      </x:c>
      <x:c r="B23" s="19" t="str">
        <x:v>Add Customers[CustomerID] to Page 3 drill-through fields. Include CustomerID in the source visual detail where necessary. Add a Back button and test that the drill-through returns only the selected customer. Standard page navigation should still allow an all-customer worklist.</x:v>
      </x:c>
    </x:row>
    <x:row r="24" ht="82" customHeight="1">
      <x:c r="A24" s="21" t="str">
        <x:v>Preparation exercise</x:v>
      </x:c>
      <x:c r="B24" s="22" t="str">
        <x:v>Load Invoices and Payments as staging queries. Filter payments to PaymentDate &lt;= 2026-09-30, group by InvoiceID and sum PaymentAmountCAD. Left-merge that result into Invoices, replace unmatched paid amounts with zero, then calculate outstanding rounded to two decimal places, days overdue and aging buckets. Keep one row per invoice. Compare your new table against ARSnapshot.</x:v>
      </x:c>
    </x:row>
    <x:row r="25" ht="48" customHeight="1">
      <x:c r="A25" s="20" t="str">
        <x:v>Avoid duplicate invoice amounts</x:v>
      </x:c>
      <x:c r="B25" s="19" t="str">
        <x:v>Aggregate payments to InvoiceID before merging into invoices. A direct invoice-to-payment join repeats the invoice amount when an invoice has several payments. Retain raw Payments for the cash collection trend.</x:v>
      </x:c>
    </x:row>
    <x:row r="26" ht="65" customHeight="1">
      <x:c r="A26" s="21" t="str">
        <x:v>Core definitions</x:v>
      </x:c>
      <x:c r="B26" s="22" t="str">
        <x:v>OutstandingCAD = InvoiceAmountCAD minus payments allocated by the snapshot date, rounded to two decimals. DaysOverdue = max(0, snapshot date minus DueDate) only when outstanding is positive. Bucket boundaries: Current=0; 1-30; 31-60; 61-90; 91+. Paid invoices are not included in aging exposure.</x:v>
      </x:c>
    </x:row>
    <x:row r="27" ht="65" customHeight="1">
      <x:c r="A27" s="20" t="str">
        <x:v>Validation checks</x:v>
      </x:c>
      <x:c r="B27" s="19" t="str">
        <x:v>With no filters, match Start Here. Check invoice uniqueness, valid customer IDs, payment dates on/after invoice dates, total payments per invoice &lt;= invoice amount, and no negative balances. Check a paid invoice, an unpaid invoice, a partial-payment invoice, a future-due invoice and a disputed invoice.</x:v>
      </x:c>
    </x:row>
    <x:row r="28" ht="48" customHeight="1">
      <x:c r="A28" s="21" t="str">
        <x:v>Boundary checks</x:v>
      </x:c>
      <x:c r="B28" s="22" t="str">
        <x:v>For an open invoice, due on 2026-09-30 is Current; due 2026-09-29 is 1-30; days 30/31, 60/61 and 90/91 must enter the correct neighboring buckets. A zero balance is Paid regardless of its due date.</x:v>
      </x:c>
    </x:row>
    <x:row r="29" ht="48" customHeight="1">
      <x:c r="A29" s="20" t="str">
        <x:v>Presentation story</x:v>
      </x:c>
      <x:c r="B29" s="19" t="str">
        <x:v>Explain the question, define the KPI, show one finding, identify the affected customer/invoices, describe a reasonable follow-up, and show how you validated the numbers. Quantify only findings actually present in this fictional dataset.</x:v>
      </x:c>
    </x:row>
    <x:row r="30" ht="65" customHeight="1">
      <x:c r="A30" s="21" t="str">
        <x:v>Suggested completion plan</x:v>
      </x:c>
      <x:c r="B30" s="22" t="str">
        <x:v>Session 1: import and model. Session 2: measures and validation. Session 3: overview and aging pages. Session 4: worklist and drill-through. Session 5: findings, screenshots and a two-minute walkthrough. Keep applying for roles while building.</x:v>
      </x:c>
    </x:row>
    <x:row r="31" ht="65" customHeight="1">
      <x:c r="A31" s="20" t="str">
        <x:v>Portfolio evidence</x:v>
      </x:c>
      <x:c r="B31" s="19" t="str">
        <x:v>Include the completed report, a model screenshot, documented KPI definitions, the Power Query or SQL transformation, reconciliations, and three findings with proposed actions. Add the portfolio link near the top of a Data Analyst-focused resume after completing and validating the report.</x:v>
      </x:c>
    </x:row>
    <x:row r="32" ht="36" customHeight="1">
      <x:c r="A32" s="21" t="str">
        <x:v>Microsoft model reference</x:v>
      </x:c>
      <x:c r="B32" s="22" t="str">
        <x:v>https://learn.microsoft.com/en-us/power-bi/guidance/star-schema</x:v>
      </x:c>
    </x:row>
    <x:row r="33" ht="36" customHeight="1">
      <x:c r="A33" s="20" t="str">
        <x:v>Microsoft DAX reference</x:v>
      </x:c>
      <x:c r="B33" s="19" t="str">
        <x:v>https://learn.microsoft.com/en-us/dax/calculate-function-dax</x:v>
      </x:c>
    </x:row>
    <x:row r="34" ht="36" customHeight="1">
      <x:c r="A34" s="21" t="str">
        <x:v>Microsoft date table reference</x:v>
      </x:c>
      <x:c r="B34" s="22" t="str">
        <x:v>https://learn.microsoft.com/en-us/power-bi/transform-model/desktop-date-tables</x:v>
      </x:c>
    </x:row>
    <x:row r="35" ht="48" customHeight="1">
      <x:c r="A35" s="20" t="str">
        <x:v>Source and limits</x:v>
      </x:c>
      <x:c r="B35" s="19" t="str">
        <x:v>All input records are generated fictional data, not industry benchmarks. This workbook has been checked as an Excel data source. The DAX, visuals and drill-through still need to be created and tested in Power BI Desktop.</x:v>
      </x:c>
    </x:row>
    <x:row r="36" ht="23" customHeight="1">
      <x:c r="A36" s="2"/>
      <x:c r="B36" s="2"/>
    </x:row>
    <x:row r="37" ht="23" customHeight="1">
      <x:c r="A37" s="2"/>
      <x:c r="B37" s="2"/>
    </x:row>
    <x:row r="38" ht="23" customHeight="1">
      <x:c r="A38" s="2"/>
      <x:c r="B38" s="2"/>
    </x:row>
    <x:row r="39" ht="23" customHeight="1">
      <x:c r="A39" s="2"/>
      <x:c r="B39" s="2"/>
    </x:row>
    <x:row r="40" ht="23" customHeight="1">
      <x:c r="A40" s="2"/>
      <x:c r="B40" s="2"/>
    </x:row>
    <x:row r="41" ht="23" customHeight="1">
      <x:c r="A41" s="2"/>
      <x:c r="B41" s="2"/>
    </x:row>
    <x:row r="42" ht="23" customHeight="1">
      <x:c r="A42" s="2"/>
      <x:c r="B42" s="2"/>
    </x:row>
    <x:row r="43" ht="23" customHeight="1">
      <x:c r="A43" s="2"/>
      <x:c r="B43" s="2"/>
    </x:row>
    <x:row r="44" ht="23" customHeight="1">
      <x:c r="A44" s="2"/>
      <x:c r="B44" s="2"/>
    </x:row>
    <x:row r="45" ht="23" customHeight="1">
      <x:c r="A45" s="2"/>
      <x:c r="B45" s="2"/>
    </x:row>
    <x:row r="46" ht="23" customHeight="1">
      <x:c r="A46" s="2"/>
      <x:c r="B46" s="2"/>
    </x:row>
    <x:row r="47" ht="23" customHeight="1">
      <x:c r="A47" s="2"/>
      <x:c r="B47" s="2"/>
    </x:row>
    <x:row r="48" ht="23" customHeight="1">
      <x:c r="A48" s="2"/>
      <x:c r="B48" s="2"/>
    </x:row>
  </x:sheetData>
  <x:pageMargins left="0.7" right="0.7" top="0.75" bottom="0.75" header="0.3" footer="0.3"/>
</x:worksheet>
</file>